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idge\OneDrive\Documents\November Honours\Nov 13 Backup[\"/>
    </mc:Choice>
  </mc:AlternateContent>
  <xr:revisionPtr revIDLastSave="0" documentId="13_ncr:1_{A3FA03F1-3880-4F26-BAF2-D587526301B6}" xr6:coauthVersionLast="45" xr6:coauthVersionMax="45" xr10:uidLastSave="{00000000-0000-0000-0000-000000000000}"/>
  <bookViews>
    <workbookView xWindow="-120" yWindow="-120" windowWidth="29040" windowHeight="15840" tabRatio="826" activeTab="4" xr2:uid="{00000000-000D-0000-FFFF-FFFF00000000}"/>
  </bookViews>
  <sheets>
    <sheet name="Curiosity - Gale" sheetId="6" r:id="rId1"/>
    <sheet name="Opportunity - Meridiani" sheetId="4" r:id="rId2"/>
    <sheet name="Spirit - Gusev" sheetId="3" r:id="rId3"/>
    <sheet name="Pathfinder - Ares Vallis" sheetId="13" r:id="rId4"/>
    <sheet name="Viking 1 - Chryse Planitia" sheetId="11" r:id="rId5"/>
    <sheet name="Viking 2 - Utopia Planitia" sheetId="12" r:id="rId6"/>
  </sheets>
  <definedNames>
    <definedName name="_xlnm._FilterDatabase" localSheetId="0" hidden="1">'Curiosity - Gale'!$A$6:$BB$566</definedName>
    <definedName name="_xlnm._FilterDatabase" localSheetId="1" hidden="1">'Opportunity - Meridiani'!$A$7:$AJ$378</definedName>
    <definedName name="_xlnm._FilterDatabase" localSheetId="2" hidden="1">'Spirit - Gusev'!$A$8:$AD$230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7" i="12" l="1"/>
  <c r="N8" i="12"/>
  <c r="N9" i="12"/>
  <c r="N10" i="12"/>
  <c r="N11" i="12"/>
  <c r="N12" i="12"/>
  <c r="N6" i="12"/>
  <c r="F2" i="13" l="1"/>
  <c r="Q3" i="13" l="1"/>
  <c r="A6" i="4" l="1"/>
  <c r="A7" i="3"/>
  <c r="N2" i="12"/>
  <c r="M2" i="12"/>
  <c r="I2" i="11"/>
  <c r="H2" i="11"/>
  <c r="G2" i="11"/>
  <c r="F2" i="11"/>
  <c r="E2" i="11"/>
  <c r="I1" i="13" l="1"/>
  <c r="J1" i="13"/>
  <c r="K1" i="13"/>
  <c r="L1" i="13"/>
  <c r="M1" i="13"/>
  <c r="N1" i="13"/>
  <c r="O1" i="13"/>
  <c r="P1" i="13"/>
  <c r="Q1" i="13"/>
  <c r="R1" i="13"/>
  <c r="S1" i="13"/>
  <c r="T1" i="13"/>
  <c r="U1" i="13"/>
  <c r="V1" i="13"/>
  <c r="W1" i="13"/>
  <c r="X1" i="13"/>
  <c r="Y1" i="13"/>
  <c r="Z1" i="13"/>
  <c r="AA1" i="13"/>
  <c r="AB1" i="13"/>
  <c r="AC1" i="13"/>
  <c r="AD1" i="13"/>
  <c r="H1" i="13"/>
  <c r="G1" i="13"/>
  <c r="F1" i="13"/>
  <c r="E1" i="13"/>
  <c r="N2" i="13"/>
  <c r="M2" i="13"/>
  <c r="C22" i="13"/>
  <c r="M3" i="13" l="1"/>
  <c r="N3" i="13"/>
  <c r="J2" i="11"/>
  <c r="Y2" i="11"/>
  <c r="X2" i="11"/>
  <c r="S2" i="11"/>
  <c r="R2" i="11"/>
  <c r="AD3" i="13"/>
  <c r="AB3" i="13"/>
  <c r="AA3" i="13"/>
  <c r="Y3" i="13"/>
  <c r="X3" i="13"/>
  <c r="W3" i="13"/>
  <c r="V3" i="13"/>
  <c r="U3" i="13"/>
  <c r="T3" i="13"/>
  <c r="S3" i="13"/>
  <c r="R3" i="13"/>
  <c r="Z3" i="13"/>
  <c r="AC3" i="13"/>
  <c r="P3" i="13"/>
  <c r="O3" i="13"/>
  <c r="E3" i="13"/>
  <c r="N8" i="11"/>
  <c r="N9" i="11"/>
  <c r="N10" i="11"/>
  <c r="N11" i="11"/>
  <c r="N12" i="11"/>
  <c r="N13" i="11"/>
  <c r="N14" i="11"/>
  <c r="N15" i="11"/>
  <c r="N7" i="11"/>
  <c r="O2" i="11" l="1"/>
  <c r="N2" i="11"/>
  <c r="A230" i="3" l="1"/>
  <c r="A378" i="4"/>
  <c r="U2" i="11" l="1"/>
  <c r="T2" i="11"/>
  <c r="I2" i="13" l="1"/>
  <c r="J2" i="13"/>
  <c r="K2" i="13"/>
  <c r="L2" i="13"/>
  <c r="O2" i="13"/>
  <c r="P2" i="13"/>
  <c r="Q2" i="13"/>
  <c r="R2" i="13"/>
  <c r="S2" i="13"/>
  <c r="T2" i="13"/>
  <c r="U2" i="13"/>
  <c r="V2" i="13"/>
  <c r="W2" i="13"/>
  <c r="X2" i="13"/>
  <c r="Y2" i="13"/>
  <c r="Z2" i="13"/>
  <c r="AA2" i="13"/>
  <c r="AB2" i="13"/>
  <c r="AC2" i="13"/>
  <c r="AD2" i="13"/>
  <c r="H2" i="13"/>
  <c r="G2" i="13"/>
  <c r="E2" i="13"/>
  <c r="L3" i="13"/>
  <c r="K3" i="13"/>
  <c r="J3" i="13"/>
  <c r="I3" i="13"/>
  <c r="H3" i="13"/>
  <c r="G3" i="13"/>
  <c r="F3" i="13"/>
  <c r="AE2" i="12"/>
  <c r="AD2" i="12"/>
  <c r="AC2" i="12"/>
  <c r="AB2" i="12"/>
  <c r="Y2" i="12"/>
  <c r="X2" i="12"/>
  <c r="U2" i="12"/>
  <c r="T2" i="12"/>
  <c r="O2" i="12"/>
  <c r="H2" i="12"/>
  <c r="G2" i="12"/>
  <c r="F2" i="12"/>
  <c r="E2" i="12"/>
  <c r="AB2" i="11"/>
  <c r="AC2" i="11"/>
  <c r="AD2" i="11"/>
  <c r="AE2" i="11"/>
  <c r="AB3" i="6" l="1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</calcChain>
</file>

<file path=xl/sharedStrings.xml><?xml version="1.0" encoding="utf-8"?>
<sst xmlns="http://schemas.openxmlformats.org/spreadsheetml/2006/main" count="2273" uniqueCount="1298">
  <si>
    <t>Sol</t>
  </si>
  <si>
    <t>-</t>
  </si>
  <si>
    <t>Type</t>
  </si>
  <si>
    <t>SU</t>
  </si>
  <si>
    <t>RU</t>
  </si>
  <si>
    <t>RB</t>
  </si>
  <si>
    <t>RR</t>
  </si>
  <si>
    <t>SC</t>
  </si>
  <si>
    <t>SD</t>
  </si>
  <si>
    <t>SF</t>
  </si>
  <si>
    <t>ST</t>
  </si>
  <si>
    <t>Gusev_Soil</t>
  </si>
  <si>
    <t>Adirondack_asis</t>
  </si>
  <si>
    <t>Adirondack_brush</t>
  </si>
  <si>
    <t>Adirondack_RAT</t>
  </si>
  <si>
    <t>Crest_morning</t>
  </si>
  <si>
    <t>Mimi</t>
  </si>
  <si>
    <t>Track</t>
  </si>
  <si>
    <t>Rampflats</t>
  </si>
  <si>
    <t>Angelflats</t>
  </si>
  <si>
    <t>Grandeflats</t>
  </si>
  <si>
    <t>Road Cut_WallMIonl</t>
  </si>
  <si>
    <t>Sugar_T1</t>
  </si>
  <si>
    <t>Humphrey_Ashley_asis</t>
  </si>
  <si>
    <t>Humphrey_Heyworth_asis</t>
  </si>
  <si>
    <t>Humphrey_brush</t>
  </si>
  <si>
    <t>Humphrey_RAT1</t>
  </si>
  <si>
    <t>Humphrey_RAT2</t>
  </si>
  <si>
    <t>Plank_Asis</t>
  </si>
  <si>
    <t>SugarLoafFlats_soi</t>
  </si>
  <si>
    <t>Gobi1_soil</t>
  </si>
  <si>
    <t>Serpent_Scuffed</t>
  </si>
  <si>
    <t>BearPaw</t>
  </si>
  <si>
    <t>Mazatzal_NewYork_Brush</t>
  </si>
  <si>
    <t>Mazatzal_Oregon_Asis</t>
  </si>
  <si>
    <t>Mazatzal_Brooklyn_RAT2</t>
  </si>
  <si>
    <t>Route66_brushed</t>
  </si>
  <si>
    <t>Bitterrootflats_flats1</t>
  </si>
  <si>
    <t>Bighole_Mayfly_surface</t>
  </si>
  <si>
    <t>Bighole_RS2</t>
  </si>
  <si>
    <t>Bighole_Trico</t>
  </si>
  <si>
    <t>Owens_soil_Track</t>
  </si>
  <si>
    <t>Accelerator_Soil</t>
  </si>
  <si>
    <t>Boroughs_Mills_bottom</t>
  </si>
  <si>
    <t>Mojave_Joshua_Asis</t>
  </si>
  <si>
    <t>Shredded_dark4_soil</t>
  </si>
  <si>
    <t>Goldklumpen_Asis</t>
  </si>
  <si>
    <t>Goldfinger_Jaws_soil</t>
  </si>
  <si>
    <t>Fools_gold_Asis</t>
  </si>
  <si>
    <t>Pot_of_Gold_RAT</t>
  </si>
  <si>
    <t>Breadbox_Sourdough</t>
  </si>
  <si>
    <t>String_of_pearls_Perlx</t>
  </si>
  <si>
    <t>WoolyPatch_Sabre_RAT</t>
  </si>
  <si>
    <t>SiO2</t>
  </si>
  <si>
    <t>TiO2</t>
  </si>
  <si>
    <t>Al2O3</t>
  </si>
  <si>
    <t>Cr2O3</t>
  </si>
  <si>
    <t>MnO</t>
  </si>
  <si>
    <t>MgO</t>
  </si>
  <si>
    <t>CaO</t>
  </si>
  <si>
    <t>Na2O</t>
  </si>
  <si>
    <t>K2O</t>
  </si>
  <si>
    <t>P2O5</t>
  </si>
  <si>
    <t>SO3</t>
  </si>
  <si>
    <t>Cl</t>
  </si>
  <si>
    <t>Total</t>
  </si>
  <si>
    <t>Next to Yogi</t>
  </si>
  <si>
    <t>Yogi</t>
  </si>
  <si>
    <t>Wedge</t>
  </si>
  <si>
    <t>Shark</t>
  </si>
  <si>
    <t>Half Dome</t>
  </si>
  <si>
    <t>Name</t>
  </si>
  <si>
    <t>A-2</t>
  </si>
  <si>
    <t>A-4</t>
  </si>
  <si>
    <t>A-5</t>
  </si>
  <si>
    <t>A-10</t>
  </si>
  <si>
    <t>A-15</t>
  </si>
  <si>
    <t>A-3</t>
  </si>
  <si>
    <t>A-7</t>
  </si>
  <si>
    <t>A-16</t>
  </si>
  <si>
    <t>A-17</t>
  </si>
  <si>
    <t>A-18</t>
  </si>
  <si>
    <t>FeO</t>
  </si>
  <si>
    <t>Dark Next to Yogi</t>
  </si>
  <si>
    <t>Lamb</t>
  </si>
  <si>
    <t>Mermaid</t>
  </si>
  <si>
    <t>Barnacle</t>
  </si>
  <si>
    <t>Deploy</t>
  </si>
  <si>
    <t>Disturded Soil by Scooby</t>
  </si>
  <si>
    <t>A-9</t>
  </si>
  <si>
    <t>Source</t>
  </si>
  <si>
    <t>MER Oxide Abundance Data (https://pds-geosciences.wustl.edu/missions/mer/mer_apxs_oxide.htm)</t>
  </si>
  <si>
    <t>STDEV</t>
  </si>
  <si>
    <t>RR1</t>
  </si>
  <si>
    <t>RR2</t>
  </si>
  <si>
    <t>OU</t>
  </si>
  <si>
    <t>CU</t>
  </si>
  <si>
    <t>OB</t>
  </si>
  <si>
    <t>Geographic Region</t>
  </si>
  <si>
    <t>SiO2.err</t>
  </si>
  <si>
    <t>TiO2.err</t>
  </si>
  <si>
    <t>Al2O3.err</t>
  </si>
  <si>
    <t>Cr2O3.err</t>
  </si>
  <si>
    <t>FeO.err</t>
  </si>
  <si>
    <t>MnO.err</t>
  </si>
  <si>
    <t>MgO.err</t>
  </si>
  <si>
    <t>CaO.err</t>
  </si>
  <si>
    <t>Na2O.err</t>
  </si>
  <si>
    <t>K2O.err</t>
  </si>
  <si>
    <t>P2O5.err</t>
  </si>
  <si>
    <t>SO3.err</t>
  </si>
  <si>
    <t>Cl.err</t>
  </si>
  <si>
    <t>Ni</t>
  </si>
  <si>
    <t>Ni.err</t>
  </si>
  <si>
    <t>Zn</t>
  </si>
  <si>
    <t>Zn.err</t>
  </si>
  <si>
    <t>Br</t>
  </si>
  <si>
    <t>Br.err</t>
  </si>
  <si>
    <t>Road Cut_Floor3_</t>
  </si>
  <si>
    <t>Mazatzal_Texas_asisRAT1</t>
  </si>
  <si>
    <t>Mazatzal_NewYork_RAT1Oregon_Asis</t>
  </si>
  <si>
    <t>Santa_Anita_trench_surface</t>
  </si>
  <si>
    <t>Boroughs_Hellskitchen_side</t>
  </si>
  <si>
    <t>WoolyPatch_Sabre_asis</t>
  </si>
  <si>
    <t>Woolypatch_Mastodon_RAT</t>
  </si>
  <si>
    <t>Clovis_Plano_asis</t>
  </si>
  <si>
    <t>Clovis_Plano_Brush</t>
  </si>
  <si>
    <t>Clovis_Plano_RAT</t>
  </si>
  <si>
    <t>Clovis_BrushMosaic</t>
  </si>
  <si>
    <t>Kilmary_soil</t>
  </si>
  <si>
    <t>Ebenezer_TinyTim</t>
  </si>
  <si>
    <t>Ebenezer_Cratchit_asis</t>
  </si>
  <si>
    <t>Ebenezer_brushed</t>
  </si>
  <si>
    <t>Ebenezer_RAT</t>
  </si>
  <si>
    <t>RF</t>
  </si>
  <si>
    <t>Ebenezer_Fritz_RATgrindings</t>
  </si>
  <si>
    <t>Greeneyes_soilTG</t>
  </si>
  <si>
    <t>Disturbance_soil</t>
  </si>
  <si>
    <t>Temples_dwarf_asis</t>
  </si>
  <si>
    <t>Tetl_clumb_asis</t>
  </si>
  <si>
    <t>Coffee_disturbed_soil</t>
  </si>
  <si>
    <t>Uchban_Koolik_asis</t>
  </si>
  <si>
    <t>Uchben_Koolik_RAT</t>
  </si>
  <si>
    <t>Uchben_Chiikbes_brush</t>
  </si>
  <si>
    <t>Lutefisk_flatfish_Brushed</t>
  </si>
  <si>
    <t>Lutefisk_RATRoe_brushed</t>
  </si>
  <si>
    <t>Tofurkey_disturbedsoil</t>
  </si>
  <si>
    <t>Wishstone_chisel_brush</t>
  </si>
  <si>
    <t>Wishstone_chisel_RAT</t>
  </si>
  <si>
    <t>Penny_dist_soil</t>
  </si>
  <si>
    <t>dreaming_asis</t>
  </si>
  <si>
    <t>champagne_asis</t>
  </si>
  <si>
    <t>champagne_brush</t>
  </si>
  <si>
    <t>champagne_RAT1</t>
  </si>
  <si>
    <t>champagne_RAT2</t>
  </si>
  <si>
    <t>Peace_brushed</t>
  </si>
  <si>
    <t>Peace_RAT1</t>
  </si>
  <si>
    <t>Peace_RAT2</t>
  </si>
  <si>
    <t>Alligator_APXSspot_TG</t>
  </si>
  <si>
    <t>Alligator_APXSspot_long</t>
  </si>
  <si>
    <t>Alligator_scale_brushed</t>
  </si>
  <si>
    <t>PasoRobles_disturbed soil</t>
  </si>
  <si>
    <t>Watchtower_Joker_Brush</t>
  </si>
  <si>
    <t>Watchtower_Joker_RAT</t>
  </si>
  <si>
    <t>Paso_light</t>
  </si>
  <si>
    <t>Paso_dark</t>
  </si>
  <si>
    <t>BensClod_brushed</t>
  </si>
  <si>
    <t>Paso_DarkLight</t>
  </si>
  <si>
    <t>Crumble</t>
  </si>
  <si>
    <t>Methuselah_Keystone</t>
  </si>
  <si>
    <t>Methuselah_Haunch</t>
  </si>
  <si>
    <t>Methuselah_Pittsburg</t>
  </si>
  <si>
    <t>Bell</t>
  </si>
  <si>
    <t>Reef</t>
  </si>
  <si>
    <t>Jibsheet</t>
  </si>
  <si>
    <t>Paros</t>
  </si>
  <si>
    <t>Pequod_Ahab</t>
  </si>
  <si>
    <t>Pequod_Ahab_brushed</t>
  </si>
  <si>
    <t>Pequod_MobyDick</t>
  </si>
  <si>
    <t>Pequod_Doubloon_TG</t>
  </si>
  <si>
    <t>Backstay_Scuppers</t>
  </si>
  <si>
    <t>Backstay_Scurvy</t>
  </si>
  <si>
    <t>Independence_Jefferson</t>
  </si>
  <si>
    <t>Independence_Franklin</t>
  </si>
  <si>
    <t>Independence_Penn2_Scuffed</t>
  </si>
  <si>
    <t>Descartes_Discourse</t>
  </si>
  <si>
    <t>Descartes_Discourse_brush</t>
  </si>
  <si>
    <t>Bourgeosie_Chic.</t>
  </si>
  <si>
    <t>Bourgeosie_Matrice.</t>
  </si>
  <si>
    <t>Bourgeosie_Haussman</t>
  </si>
  <si>
    <t>Assemblee_Gruyere</t>
  </si>
  <si>
    <t>Assemblee_APXS</t>
  </si>
  <si>
    <t>Whymper</t>
  </si>
  <si>
    <t>Lambert_Couzy_mod</t>
  </si>
  <si>
    <t>Irvine</t>
  </si>
  <si>
    <t>LandsEnd</t>
  </si>
  <si>
    <t>HangTwo</t>
  </si>
  <si>
    <t>Hillary_Khumjung</t>
  </si>
  <si>
    <t>Hillary_NamcheBazaar</t>
  </si>
  <si>
    <t>Kansas</t>
  </si>
  <si>
    <t>LarrysBench_Thrasher</t>
  </si>
  <si>
    <t>Seminole_Osceola</t>
  </si>
  <si>
    <t>Seminole_Abiaka</t>
  </si>
  <si>
    <t>Algonquin_Iroquet</t>
  </si>
  <si>
    <t>Algonquin_Iroquet_Brushed</t>
  </si>
  <si>
    <t>Comanche_Horseback</t>
  </si>
  <si>
    <t>Comanche_Palomino</t>
  </si>
  <si>
    <t>ElDorado_Scuff_Shadow</t>
  </si>
  <si>
    <t>ElDorado_Scuff_Edgar</t>
  </si>
  <si>
    <t>Arad_Samra</t>
  </si>
  <si>
    <t>Arad_Hula</t>
  </si>
  <si>
    <t>Arad_Masada Touch and Go</t>
  </si>
  <si>
    <t>Barnhill_Ace</t>
  </si>
  <si>
    <t>Barnhill_Fastball</t>
  </si>
  <si>
    <t>Posey_Manager</t>
  </si>
  <si>
    <t>James Cool Papa Bell_Stars</t>
  </si>
  <si>
    <t>James Cool Papa Bell_Crawford</t>
  </si>
  <si>
    <t>Home Plate_Fuzzy Smith</t>
  </si>
  <si>
    <t>Enderbyland_Halley</t>
  </si>
  <si>
    <t>Enderbyland_Mawson</t>
  </si>
  <si>
    <t>Enderbyland_Progress</t>
  </si>
  <si>
    <t>Enderbyland_Progress 1</t>
  </si>
  <si>
    <t>Enderbyland_Halley Center</t>
  </si>
  <si>
    <t>Enderbyland_Progress 2</t>
  </si>
  <si>
    <t>Enderbyland_Halley Brunt</t>
  </si>
  <si>
    <t>Enderbyland_Halley Brunt Offset 1b</t>
  </si>
  <si>
    <t>Enderbyland_Halley Brunt Offset2</t>
  </si>
  <si>
    <t>Enderbyland_Halley_Brunt_Offset3</t>
  </si>
  <si>
    <t>Berkner Island 1</t>
  </si>
  <si>
    <t>Bear Island_Bear Island</t>
  </si>
  <si>
    <t>Grahamland_King George Island</t>
  </si>
  <si>
    <t>Grahamland_King George Offset</t>
  </si>
  <si>
    <t>Esperanza_Palma</t>
  </si>
  <si>
    <t>Troll_Montlava</t>
  </si>
  <si>
    <t>Troll_Montalva Offset</t>
  </si>
  <si>
    <t>Troll Riquelme 2</t>
  </si>
  <si>
    <t>Tyrone_Mount Darwin</t>
  </si>
  <si>
    <t>Torquas_Torquas2</t>
  </si>
  <si>
    <t>Elizabeth Mahon_Elizabeth Mahon</t>
  </si>
  <si>
    <t>Madeline English_Madeline English IDD</t>
  </si>
  <si>
    <t>Exmine This_Everett</t>
  </si>
  <si>
    <t>Examine This_Slide</t>
  </si>
  <si>
    <t>Examine This_Good Question</t>
  </si>
  <si>
    <t>Gertrude Weise_Kenosha Comets</t>
  </si>
  <si>
    <t>Gertrude Weise_Kenosha Comets 2</t>
  </si>
  <si>
    <t>Gertrude Weise_Lefty Ganote</t>
  </si>
  <si>
    <t>Home Plate_Pespallo</t>
  </si>
  <si>
    <t>Home Plate_Superpesis</t>
  </si>
  <si>
    <t>Home Plate_June Emerson</t>
  </si>
  <si>
    <t>Home Plate_Elizabeth Emery</t>
  </si>
  <si>
    <t>Eastern Valley_Nancy Warren</t>
  </si>
  <si>
    <t>Eastern Valley_Calibration Soil</t>
  </si>
  <si>
    <t>Eastern Valley_Marguerite Davis</t>
  </si>
  <si>
    <t>Eileen Dean_Auto Place</t>
  </si>
  <si>
    <t>Eileen Dean_Eileen Dean 2</t>
  </si>
  <si>
    <t>RD</t>
  </si>
  <si>
    <t>Innocent Bystander_Bystander TGT 2</t>
  </si>
  <si>
    <t>Innocent Bystander_Bystander Offset</t>
  </si>
  <si>
    <t>Innocent Bystander_Norma Luker 2</t>
  </si>
  <si>
    <t>Home Plate_Texas Chili</t>
  </si>
  <si>
    <t>Home Plate_Humbolt Peak</t>
  </si>
  <si>
    <t>MAG</t>
  </si>
  <si>
    <t>Capture Magnet</t>
  </si>
  <si>
    <t>PumpkinPie_Track</t>
  </si>
  <si>
    <t>Home Plate_Pecan Pie</t>
  </si>
  <si>
    <t>Chanute</t>
  </si>
  <si>
    <t>Chanute_Brushed1</t>
  </si>
  <si>
    <t>Chanute_Brushed2</t>
  </si>
  <si>
    <t>Freeman_Brushed1</t>
  </si>
  <si>
    <t>Wendell_Pruit1_brushed</t>
  </si>
  <si>
    <t>Wendell_Pruit2_brushed</t>
  </si>
  <si>
    <t>ArthurCHarmon</t>
  </si>
  <si>
    <t>Stapleton</t>
  </si>
  <si>
    <t>JohnWesleyPowell</t>
  </si>
  <si>
    <t>Sackrider1</t>
  </si>
  <si>
    <t>OliveBranch1</t>
  </si>
  <si>
    <t>OliveBranch2</t>
  </si>
  <si>
    <t>OliveBranch3</t>
  </si>
  <si>
    <t>OliveBranch4</t>
  </si>
  <si>
    <t>Penina1</t>
  </si>
  <si>
    <t>Penina2</t>
  </si>
  <si>
    <t>Penina3</t>
  </si>
  <si>
    <t>CyclopsEye1</t>
  </si>
  <si>
    <t>CyclopsEye2</t>
  </si>
  <si>
    <t>CyclopsEye3</t>
  </si>
  <si>
    <t>SB</t>
  </si>
  <si>
    <t>OliveBranch5</t>
  </si>
  <si>
    <t>SR</t>
  </si>
  <si>
    <t>CyclopsEye5_RAT</t>
  </si>
  <si>
    <t>OliveBranch7</t>
  </si>
  <si>
    <t>PolyphemusEye_RAT</t>
  </si>
  <si>
    <t>PolyphemusEye3_RAT</t>
  </si>
  <si>
    <t>OliveLeaf</t>
  </si>
  <si>
    <t>OliveLeaf2</t>
  </si>
  <si>
    <t>Penina4</t>
  </si>
  <si>
    <t>Stratius</t>
  </si>
  <si>
    <t>Thoosa</t>
  </si>
  <si>
    <t>RRB</t>
  </si>
  <si>
    <t>error</t>
  </si>
  <si>
    <t>Robert.E</t>
  </si>
  <si>
    <t>Dells_HiHo_asis</t>
  </si>
  <si>
    <t>RasperryNewton</t>
  </si>
  <si>
    <t>Tarmac</t>
  </si>
  <si>
    <t>Kentucky_asis</t>
  </si>
  <si>
    <t>Hematite_Slope_Hema2</t>
  </si>
  <si>
    <t>Trench_floor</t>
  </si>
  <si>
    <t>Trench_sidewall</t>
  </si>
  <si>
    <t>McKittrick_asis</t>
  </si>
  <si>
    <t>Guadalupe_asis</t>
  </si>
  <si>
    <t>McKittrick_RAT</t>
  </si>
  <si>
    <t>Guadalupe_RAT</t>
  </si>
  <si>
    <t>Last_Chance_Makar_asis</t>
  </si>
  <si>
    <t>Mojo2_asis</t>
  </si>
  <si>
    <t>Mojo2_RAT</t>
  </si>
  <si>
    <t>BerryBowl_Rubel_Full</t>
  </si>
  <si>
    <t>BerryBowl_Empty</t>
  </si>
  <si>
    <t>RealSharksTooth_enamel1_asis</t>
  </si>
  <si>
    <t>MontBlanc_LeHauches</t>
  </si>
  <si>
    <t>BounceRock_Glanz</t>
  </si>
  <si>
    <t>BounceRock_Case_Rat</t>
  </si>
  <si>
    <t>BounceRock_Maggie</t>
  </si>
  <si>
    <t>JackRussel_SoilBesi</t>
  </si>
  <si>
    <t>BeagleBurrow_Trench</t>
  </si>
  <si>
    <t>Golf_Post_RAT_FRAM</t>
  </si>
  <si>
    <t>Scuff_Nougat</t>
  </si>
  <si>
    <t>Fred_Ripple_soil</t>
  </si>
  <si>
    <t>Leahs_Choice</t>
  </si>
  <si>
    <t>LionStone_Leo_asis</t>
  </si>
  <si>
    <t>LionStone_Numa_RAT</t>
  </si>
  <si>
    <t>FigTree_Barberton</t>
  </si>
  <si>
    <t>HillTop_Wilson</t>
  </si>
  <si>
    <t>Tenessee_RAT</t>
  </si>
  <si>
    <t>Kentucky_Cubble_Hill2_RAT</t>
  </si>
  <si>
    <t>Virginia_RAT</t>
  </si>
  <si>
    <t>Ontario_London_RAT</t>
  </si>
  <si>
    <t>Grindstone_RAT</t>
  </si>
  <si>
    <t>Kettlestone_RAT</t>
  </si>
  <si>
    <t>millstone_Dramensfjord_RAT</t>
  </si>
  <si>
    <t>Soil_Millstone_Dahlia</t>
  </si>
  <si>
    <t>Hoghead_ArnoldZiffel_Asis</t>
  </si>
  <si>
    <t>Diamon_Jenness_Holman3_RAT1</t>
  </si>
  <si>
    <t>Diamon_Jenness_Holman3_RAT2</t>
  </si>
  <si>
    <t>MacKenzie_Campell_RAT</t>
  </si>
  <si>
    <t>Inuvik_Toruyuktuk_RAT</t>
  </si>
  <si>
    <t>Bylot_RAT</t>
  </si>
  <si>
    <t>Sermilik_vein_asis</t>
  </si>
  <si>
    <t>Marquette_PB2_RB_2_TG</t>
  </si>
  <si>
    <t>Escher_Kirchner_Asis</t>
  </si>
  <si>
    <t>Escher_Kirchner_brushed</t>
  </si>
  <si>
    <t>Escher_Nolde_dirty</t>
  </si>
  <si>
    <t>Escher_Nolde_brushed</t>
  </si>
  <si>
    <t>Escher_Kirchner_RAT</t>
  </si>
  <si>
    <t>Aukling_soil_TG</t>
  </si>
  <si>
    <t>Auk_RAT</t>
  </si>
  <si>
    <t>Ellesmere_NoCoating</t>
  </si>
  <si>
    <t>Ellesmere_Barbeau</t>
  </si>
  <si>
    <t>Rocknest_void_soil</t>
  </si>
  <si>
    <t>Wopmay_Otter</t>
  </si>
  <si>
    <t>Wopmay_Otter_b</t>
  </si>
  <si>
    <t>Wanganui</t>
  </si>
  <si>
    <t>Paikia_brushed</t>
  </si>
  <si>
    <t>Paikia_RAT</t>
  </si>
  <si>
    <t>Wharenhui_RAT_stalled</t>
  </si>
  <si>
    <t>Pohutu_asis</t>
  </si>
  <si>
    <t>Wharenhui_RAT</t>
  </si>
  <si>
    <t>Left_of_peanut_TrenchFloor</t>
  </si>
  <si>
    <t>Crest_RippleCrest</t>
  </si>
  <si>
    <t>Caviar_undisturbedSoil</t>
  </si>
  <si>
    <t>Scuff_Srcuffy</t>
  </si>
  <si>
    <t>Russett_Cobble</t>
  </si>
  <si>
    <t>Omaha as is</t>
  </si>
  <si>
    <t>Gagarin_asis</t>
  </si>
  <si>
    <t>Gagarin_brush</t>
  </si>
  <si>
    <t>Gagarin_RAT</t>
  </si>
  <si>
    <t>Mobarek_undist_soil</t>
  </si>
  <si>
    <t>RippleCrest_NoRooz</t>
  </si>
  <si>
    <t>RippleCrest_MayNoRooz</t>
  </si>
  <si>
    <t>Recovery_Cure</t>
  </si>
  <si>
    <t>NorthDune_New_Track</t>
  </si>
  <si>
    <t>Purgatrough_ThroughPlain</t>
  </si>
  <si>
    <t>Purgatory_Track2.</t>
  </si>
  <si>
    <t>Purgatory_Flank1</t>
  </si>
  <si>
    <t>IceCream_RAT</t>
  </si>
  <si>
    <t>Cobble_Arkansas</t>
  </si>
  <si>
    <t>Cobble_Perseverance</t>
  </si>
  <si>
    <t>LemonRind</t>
  </si>
  <si>
    <t>Fruitbasket_Strawberry</t>
  </si>
  <si>
    <t>LemonRind_RAT</t>
  </si>
  <si>
    <t>Elephant</t>
  </si>
  <si>
    <t>Desception</t>
  </si>
  <si>
    <t>Olympia_Kalavrita</t>
  </si>
  <si>
    <t>Olympia_Ziakas</t>
  </si>
  <si>
    <t>Olympia_Antistasi_Cobble</t>
  </si>
  <si>
    <t>Williams_asis_long</t>
  </si>
  <si>
    <t>Ted</t>
  </si>
  <si>
    <t>Ted_Brushed</t>
  </si>
  <si>
    <t>Hunt</t>
  </si>
  <si>
    <t>Ted_RAT</t>
  </si>
  <si>
    <t>Roosevelt_RoughRider</t>
  </si>
  <si>
    <t>Fala</t>
  </si>
  <si>
    <t>Brookeville</t>
  </si>
  <si>
    <t>Cheyenne</t>
  </si>
  <si>
    <t>Alamogordo_Creek</t>
  </si>
  <si>
    <t>Westport</t>
  </si>
  <si>
    <t>Joseph_McCoy</t>
  </si>
  <si>
    <t>Haiwassee</t>
  </si>
  <si>
    <t>Baltra</t>
  </si>
  <si>
    <t>Marchena</t>
  </si>
  <si>
    <t>Isabela</t>
  </si>
  <si>
    <t>Powell</t>
  </si>
  <si>
    <t>Powells_Brother</t>
  </si>
  <si>
    <t>Faraday</t>
  </si>
  <si>
    <t>Cha_brushed</t>
  </si>
  <si>
    <t>Cha_RAT</t>
  </si>
  <si>
    <t>Rio_de_Janeiro</t>
  </si>
  <si>
    <t>SantaCatarina</t>
  </si>
  <si>
    <t>Sevilla</t>
  </si>
  <si>
    <t>Palencia</t>
  </si>
  <si>
    <t>Alicante</t>
  </si>
  <si>
    <t>Alicante2</t>
  </si>
  <si>
    <t>VivaLaRata</t>
  </si>
  <si>
    <t>Cercedilla</t>
  </si>
  <si>
    <t>Cercedilla_brush</t>
  </si>
  <si>
    <t>Cercedilla_RAT</t>
  </si>
  <si>
    <t>StenoAsis</t>
  </si>
  <si>
    <t>StenoBrush</t>
  </si>
  <si>
    <t>StenoRAT</t>
  </si>
  <si>
    <t>HallAsis</t>
  </si>
  <si>
    <t>SmithAsis</t>
  </si>
  <si>
    <t>SmithBrushed</t>
  </si>
  <si>
    <t>SmithBrushed2</t>
  </si>
  <si>
    <t>Smith2Asis</t>
  </si>
  <si>
    <t>Smith2RAT</t>
  </si>
  <si>
    <t>Lyell1_asis</t>
  </si>
  <si>
    <t>Lyell1_RAT</t>
  </si>
  <si>
    <t>Lyell2_asis</t>
  </si>
  <si>
    <t>Lyell3_asis</t>
  </si>
  <si>
    <t>Smith3_Asis</t>
  </si>
  <si>
    <t>Smith3_Asis_Second</t>
  </si>
  <si>
    <t>Lyell4_asis</t>
  </si>
  <si>
    <t>Lyell4_asis_second</t>
  </si>
  <si>
    <t>Lyell4_asis_third</t>
  </si>
  <si>
    <t>Lyell5_Smith_Side</t>
  </si>
  <si>
    <t>Lyell5_Smith_Side_second</t>
  </si>
  <si>
    <t>Lyell_Buckland_asis</t>
  </si>
  <si>
    <t>Lyell_Buckland_RAT</t>
  </si>
  <si>
    <t>Lyell_Exeter_asis</t>
  </si>
  <si>
    <t>Lyell_Exeter_asis_Second</t>
  </si>
  <si>
    <t>Gilbert_asis</t>
  </si>
  <si>
    <t>Dorsal</t>
  </si>
  <si>
    <t>Dorsal_new</t>
  </si>
  <si>
    <t>Gilbert_RAT</t>
  </si>
  <si>
    <t>PostVictoriaRippleSoil</t>
  </si>
  <si>
    <t>SanTorini1</t>
  </si>
  <si>
    <t>SanTorini2</t>
  </si>
  <si>
    <t>Candia_Crete</t>
  </si>
  <si>
    <t>Minos1</t>
  </si>
  <si>
    <t>CookIsland</t>
  </si>
  <si>
    <t>Penrhyn</t>
  </si>
  <si>
    <t>Penrhyn_RAT</t>
  </si>
  <si>
    <t>TilosKos2</t>
  </si>
  <si>
    <t>Tilos</t>
  </si>
  <si>
    <t>Rhodes</t>
  </si>
  <si>
    <t>Kalos1</t>
  </si>
  <si>
    <t>Ios</t>
  </si>
  <si>
    <t>Ios2</t>
  </si>
  <si>
    <t>TinosAsis</t>
  </si>
  <si>
    <t>TinosAsis2?</t>
  </si>
  <si>
    <t>Absecon_asis</t>
  </si>
  <si>
    <t>VailBeach</t>
  </si>
  <si>
    <t>Limnos</t>
  </si>
  <si>
    <t>Marquette_PeckBay1</t>
  </si>
  <si>
    <t>Marquette_PeckBay2</t>
  </si>
  <si>
    <t>Marquette_IslingtonBay</t>
  </si>
  <si>
    <t>Marquette_LoonLake</t>
  </si>
  <si>
    <t>Marquette_PB2_RAT</t>
  </si>
  <si>
    <t>Marquette_PB2_RB_0</t>
  </si>
  <si>
    <t>Marquette_PB2_RB_1</t>
  </si>
  <si>
    <t>Marquette_PB2_RB_2</t>
  </si>
  <si>
    <t>ChocolateHills_Aloya</t>
  </si>
  <si>
    <t>ChocolateHills_Arogo</t>
  </si>
  <si>
    <t>ChocolateHills_Tears</t>
  </si>
  <si>
    <t>OceanWatch</t>
  </si>
  <si>
    <t>Juneau</t>
  </si>
  <si>
    <t>Valparaiso</t>
  </si>
  <si>
    <t>ClarinBeach</t>
  </si>
  <si>
    <t>DueroBeach</t>
  </si>
  <si>
    <t>CerveraShoal</t>
  </si>
  <si>
    <t>PuertoJiminez</t>
  </si>
  <si>
    <t>LuisDeTorres_asis1</t>
  </si>
  <si>
    <t>LuisDeTorres_asis2</t>
  </si>
  <si>
    <t>LuisDeTorres_Brush</t>
  </si>
  <si>
    <t>LuisDeTorres_RAT</t>
  </si>
  <si>
    <t>RuizGarcia</t>
  </si>
  <si>
    <t>Valdivia</t>
  </si>
  <si>
    <t>Gibraltar</t>
  </si>
  <si>
    <t>Tisdale2_Timmins1</t>
  </si>
  <si>
    <t>Tisdale2_Timmins2</t>
  </si>
  <si>
    <t>Tisdale2_Timmins3</t>
  </si>
  <si>
    <t>Tisdale2_Shaw1</t>
  </si>
  <si>
    <t>Tisdale2_Shaw2</t>
  </si>
  <si>
    <t>Tisdale2_Shaw3</t>
  </si>
  <si>
    <t>Salisbury1_asis</t>
  </si>
  <si>
    <t>Salisbury1_brush</t>
  </si>
  <si>
    <t>Salisbury1_Rat1</t>
  </si>
  <si>
    <t>Salisbury1_RatBrush</t>
  </si>
  <si>
    <t>Geluk</t>
  </si>
  <si>
    <t>Homestake</t>
  </si>
  <si>
    <t>Homestake2</t>
  </si>
  <si>
    <t>Homestake3</t>
  </si>
  <si>
    <t>Deadwood</t>
  </si>
  <si>
    <t>Transvaal</t>
  </si>
  <si>
    <t>Boesmanskop</t>
  </si>
  <si>
    <t>Boesmanskop_Brush</t>
  </si>
  <si>
    <t>Komati</t>
  </si>
  <si>
    <t>Amboy1</t>
  </si>
  <si>
    <t>Amboy2</t>
  </si>
  <si>
    <t>Amboy3</t>
  </si>
  <si>
    <t>Amboy4</t>
  </si>
  <si>
    <t>Amboy5</t>
  </si>
  <si>
    <t>Amboy6</t>
  </si>
  <si>
    <t>Amboy7</t>
  </si>
  <si>
    <t>Amboy8</t>
  </si>
  <si>
    <t>Amboy9</t>
  </si>
  <si>
    <t>Amboy10</t>
  </si>
  <si>
    <t>Amboy11</t>
  </si>
  <si>
    <t>Amboy12</t>
  </si>
  <si>
    <t>NorthPole2</t>
  </si>
  <si>
    <t>NorthPole3</t>
  </si>
  <si>
    <t>Oostark1</t>
  </si>
  <si>
    <t>Oostark2</t>
  </si>
  <si>
    <t>Grasberg1</t>
  </si>
  <si>
    <t>Grasberg2</t>
  </si>
  <si>
    <t>Grasberg1 brush</t>
  </si>
  <si>
    <t>Grasberg1 brush RAT brush</t>
  </si>
  <si>
    <t>Grasberg3 brush RAT offset</t>
  </si>
  <si>
    <t>MonsCupri_asis</t>
  </si>
  <si>
    <t>Rushall</t>
  </si>
  <si>
    <t>Kirkwood_asis</t>
  </si>
  <si>
    <t>Kirkwood1_brushed</t>
  </si>
  <si>
    <t>Azilda_Asis</t>
  </si>
  <si>
    <t>Azilda1_brushed</t>
  </si>
  <si>
    <t>Azilda2_brushed</t>
  </si>
  <si>
    <t>Azilda3_brushed</t>
  </si>
  <si>
    <t>Azilda2_RAT1</t>
  </si>
  <si>
    <t>Azilda2_RATbrush</t>
  </si>
  <si>
    <t>Chelmsford2</t>
  </si>
  <si>
    <t>Chelmsford3</t>
  </si>
  <si>
    <t>Sandcherry_asis</t>
  </si>
  <si>
    <t>Sandcherry_brushed</t>
  </si>
  <si>
    <t>SandCherry_RAT</t>
  </si>
  <si>
    <t>Onaping_asis</t>
  </si>
  <si>
    <t>Onaping2</t>
  </si>
  <si>
    <t>Vermillion_Cliffs1</t>
  </si>
  <si>
    <t>Vermillion_Cliffs2</t>
  </si>
  <si>
    <t>Vermilion_Lake1</t>
  </si>
  <si>
    <t>Vermilion_Lake2</t>
  </si>
  <si>
    <t>Vermilion_Cliffs2a</t>
  </si>
  <si>
    <t>Ortiz1</t>
  </si>
  <si>
    <t>Ortiz2</t>
  </si>
  <si>
    <t>Ortiz3</t>
  </si>
  <si>
    <t>Ortiz2B</t>
  </si>
  <si>
    <t>Fullerton</t>
  </si>
  <si>
    <t>Fullerton2</t>
  </si>
  <si>
    <t>Fullerton3Brushed</t>
  </si>
  <si>
    <t>FecunisLake</t>
  </si>
  <si>
    <t>Maley</t>
  </si>
  <si>
    <t>Lihir</t>
  </si>
  <si>
    <t>SturgeonRiver1</t>
  </si>
  <si>
    <t>SturgeonRiver2</t>
  </si>
  <si>
    <t>SturgeonRiver1a</t>
  </si>
  <si>
    <t>SturgeonRiver3_RAT</t>
  </si>
  <si>
    <t>SturgeonRiver3_RAT1</t>
  </si>
  <si>
    <t>SturgeonRiver3_RAT2</t>
  </si>
  <si>
    <t>Esperance</t>
  </si>
  <si>
    <t>Esperance2</t>
  </si>
  <si>
    <t>Esperance3</t>
  </si>
  <si>
    <t>Esperance4</t>
  </si>
  <si>
    <t>Esperance5_RAT</t>
  </si>
  <si>
    <t>Esperance6_RAT2</t>
  </si>
  <si>
    <t>Gnarlaroo</t>
  </si>
  <si>
    <t>Tawny</t>
  </si>
  <si>
    <t>QueenAdelaide</t>
  </si>
  <si>
    <t>BlackShoulder</t>
  </si>
  <si>
    <t>BlackShoulder2</t>
  </si>
  <si>
    <t>BlackShoulder3</t>
  </si>
  <si>
    <t>BlackShoulder_RAT</t>
  </si>
  <si>
    <t>RedPoker</t>
  </si>
  <si>
    <t>TickBush</t>
  </si>
  <si>
    <t>TuckBush2</t>
  </si>
  <si>
    <t>Platypus</t>
  </si>
  <si>
    <t>Dibbler</t>
  </si>
  <si>
    <t>MonjonPurple</t>
  </si>
  <si>
    <t>MonjonGrey</t>
  </si>
  <si>
    <t>PovertyBush</t>
  </si>
  <si>
    <t>WallyWombat</t>
  </si>
  <si>
    <t>Callitris</t>
  </si>
  <si>
    <t>Spinifex</t>
  </si>
  <si>
    <t>Baobab</t>
  </si>
  <si>
    <t>YGB</t>
  </si>
  <si>
    <t>Tangalooma</t>
  </si>
  <si>
    <t>MountTempest</t>
  </si>
  <si>
    <t>CapeDarby</t>
  </si>
  <si>
    <t>CapeDarby2</t>
  </si>
  <si>
    <t>CapeElizabeth</t>
  </si>
  <si>
    <t>PinnacleIsland</t>
  </si>
  <si>
    <t>PinnacleIsland2</t>
  </si>
  <si>
    <t>PinnacleIsland3</t>
  </si>
  <si>
    <t>PinnacleIsland4</t>
  </si>
  <si>
    <t>PinnacleIsland5</t>
  </si>
  <si>
    <t>GreenIsland</t>
  </si>
  <si>
    <t>StuartIsland1</t>
  </si>
  <si>
    <t>StuartIsland2</t>
  </si>
  <si>
    <t>StuartIsland3</t>
  </si>
  <si>
    <t>StuartIsland4</t>
  </si>
  <si>
    <t>AnchorPoint1</t>
  </si>
  <si>
    <t>AnchorPoint2</t>
  </si>
  <si>
    <t>SledgeIsland1</t>
  </si>
  <si>
    <t>TurnagainArm</t>
  </si>
  <si>
    <t>Augustine</t>
  </si>
  <si>
    <t>PointBede</t>
  </si>
  <si>
    <t>MulgraveHills</t>
  </si>
  <si>
    <t>AshMeadows</t>
  </si>
  <si>
    <t>BristolWell1</t>
  </si>
  <si>
    <t>BristolWell2</t>
  </si>
  <si>
    <t>BristolWell3</t>
  </si>
  <si>
    <t>Sarcobatus_Flat1</t>
  </si>
  <si>
    <t>Sarcobatus_Clast</t>
  </si>
  <si>
    <t>Sarcobatus_Clast2</t>
  </si>
  <si>
    <t>Landshut</t>
  </si>
  <si>
    <t>Mayfield</t>
  </si>
  <si>
    <t>Sodaville</t>
  </si>
  <si>
    <t>Tuscaloosa</t>
  </si>
  <si>
    <t>Sodaville2</t>
  </si>
  <si>
    <t>Trebia</t>
  </si>
  <si>
    <t>Barstow</t>
  </si>
  <si>
    <t>RosebudCanyon</t>
  </si>
  <si>
    <t>CapeFairweather1</t>
  </si>
  <si>
    <t>CapeFairweather2</t>
  </si>
  <si>
    <t>IcyStrait</t>
  </si>
  <si>
    <t>MountEdgecumbe</t>
  </si>
  <si>
    <t>HooverONbrushed</t>
  </si>
  <si>
    <t>Victory1</t>
  </si>
  <si>
    <t>Victory2</t>
  </si>
  <si>
    <t>Margarete</t>
  </si>
  <si>
    <t>Margarete_Brush</t>
  </si>
  <si>
    <t>Birmingham</t>
  </si>
  <si>
    <t>RockCreek</t>
  </si>
  <si>
    <t>Cottondale1</t>
  </si>
  <si>
    <t>Cottondale2</t>
  </si>
  <si>
    <t>Calera</t>
  </si>
  <si>
    <t>Calera2</t>
  </si>
  <si>
    <t>LocustFork</t>
  </si>
  <si>
    <t>LiverEatingJohnson</t>
  </si>
  <si>
    <t>JeanBaptisteCharbonneau</t>
  </si>
  <si>
    <t>SgtCFloyd_Brush</t>
  </si>
  <si>
    <t>SgtCFloyd2_Brush</t>
  </si>
  <si>
    <t>SgtCFloyd3_Brush</t>
  </si>
  <si>
    <t>SgtNathanielPryor</t>
  </si>
  <si>
    <t>SgtNathanielPryor2</t>
  </si>
  <si>
    <t>Athens_Brush</t>
  </si>
  <si>
    <t>Thessaloniki</t>
  </si>
  <si>
    <t>Thessaloniki2</t>
  </si>
  <si>
    <t>Thessaloniki3</t>
  </si>
  <si>
    <t>Thermopylae1</t>
  </si>
  <si>
    <t>Thermopylae2</t>
  </si>
  <si>
    <t>Thermopylae3</t>
  </si>
  <si>
    <t>Thermopylae4</t>
  </si>
  <si>
    <t>MSL APXS Oxide Abundance Data (https://an.rsl.wustl.edu/msl/mslbrowser/an3.aspx#)</t>
  </si>
  <si>
    <t>sol</t>
  </si>
  <si>
    <t>target</t>
  </si>
  <si>
    <t>SiO2_err</t>
  </si>
  <si>
    <t>TiO2_err</t>
  </si>
  <si>
    <t>Al2O3_err</t>
  </si>
  <si>
    <t>Cr2O3_err</t>
  </si>
  <si>
    <t>FeO_err</t>
  </si>
  <si>
    <t>MnO_err</t>
  </si>
  <si>
    <t>MgO_err</t>
  </si>
  <si>
    <t>CaO_err</t>
  </si>
  <si>
    <t>Na2O_err</t>
  </si>
  <si>
    <t>K2O_err</t>
  </si>
  <si>
    <t>P2O5_err</t>
  </si>
  <si>
    <t>SO3_err</t>
  </si>
  <si>
    <t>Cl_err</t>
  </si>
  <si>
    <t>Ni_err</t>
  </si>
  <si>
    <t>Zn_err</t>
  </si>
  <si>
    <t>Br_err</t>
  </si>
  <si>
    <t>PortageRP</t>
  </si>
  <si>
    <t>Flaherty</t>
  </si>
  <si>
    <t>Ekwir_1</t>
  </si>
  <si>
    <t>Ekwir_1_postbrush</t>
  </si>
  <si>
    <t>Persillon</t>
  </si>
  <si>
    <t>Nastapoka</t>
  </si>
  <si>
    <t>Yukon</t>
  </si>
  <si>
    <t>Sayunei_RP_center</t>
  </si>
  <si>
    <t>Wernecke</t>
  </si>
  <si>
    <t>Wernecke_Brushed</t>
  </si>
  <si>
    <t>Wernecke_3_Brushed</t>
  </si>
  <si>
    <t>Percuss_Checkout_Divot2</t>
  </si>
  <si>
    <t>APXS_Drill_Site_Raster_Integration_Site7</t>
  </si>
  <si>
    <t>Cumberland_DRT_RP_twk_postBrush</t>
  </si>
  <si>
    <t>Dismal_Lakes</t>
  </si>
  <si>
    <t>Aillik_RP</t>
  </si>
  <si>
    <t>Eqalulik</t>
  </si>
  <si>
    <t>Matthew</t>
  </si>
  <si>
    <t>Maya</t>
  </si>
  <si>
    <t>Ruker_RP</t>
  </si>
  <si>
    <t>Bardin_Bluffs_1a_Matrix</t>
  </si>
  <si>
    <t>Glossopteris_Gully</t>
  </si>
  <si>
    <t>Shackleton</t>
  </si>
  <si>
    <t>Rensselaer</t>
  </si>
  <si>
    <t>Cumberland_dump_pile_center</t>
  </si>
  <si>
    <t>Morehouse_RP</t>
  </si>
  <si>
    <t>Larrabee_RP</t>
  </si>
  <si>
    <t>Kodak_RP</t>
  </si>
  <si>
    <t>Oscar_RP</t>
  </si>
  <si>
    <t>King_rp</t>
  </si>
  <si>
    <t>Argyle</t>
  </si>
  <si>
    <t>Halls_RP</t>
  </si>
  <si>
    <t>Johnny_Cake_rp</t>
  </si>
  <si>
    <t>Square_Top_3_overnight</t>
  </si>
  <si>
    <t>Pandanus_Yard</t>
  </si>
  <si>
    <t>Virgin_Hills</t>
  </si>
  <si>
    <t>Liga</t>
  </si>
  <si>
    <t>Lagrange</t>
  </si>
  <si>
    <t>Windjana_center_postDRT</t>
  </si>
  <si>
    <t>Windjana_Drillfines_Raster3</t>
  </si>
  <si>
    <t>Stephen</t>
  </si>
  <si>
    <t>Wift_overnight</t>
  </si>
  <si>
    <t>Sourdough_RP</t>
  </si>
  <si>
    <t>Nova_RP</t>
  </si>
  <si>
    <t>South_Park_rp_apxs_twk</t>
  </si>
  <si>
    <t>DumpPile_Windjana</t>
  </si>
  <si>
    <t>Stirling_RP</t>
  </si>
  <si>
    <t>BonanzaKing2_RP_raster1_DRT_overnight</t>
  </si>
  <si>
    <t>Homewood_rp</t>
  </si>
  <si>
    <t>Maturango</t>
  </si>
  <si>
    <t>Mammoth_rp</t>
  </si>
  <si>
    <t>Paradox_drillfines</t>
  </si>
  <si>
    <t>Confidence_Hills_fines_presieve_dump</t>
  </si>
  <si>
    <t>Morrison_DRT_center</t>
  </si>
  <si>
    <t>Confidence_Hills_fines_postsieve_dump</t>
  </si>
  <si>
    <t>Kelso</t>
  </si>
  <si>
    <t>Dumont</t>
  </si>
  <si>
    <t>Pelona_DRT</t>
  </si>
  <si>
    <t>Ricardo_raster1_DRT</t>
  </si>
  <si>
    <t>Rosamond_DRT_raster2</t>
  </si>
  <si>
    <t>Mojave_DRT_raster2</t>
  </si>
  <si>
    <t>Potatoe_raster2</t>
  </si>
  <si>
    <t>Punchbowl_DRT_raster2</t>
  </si>
  <si>
    <t>Afton_Canyon_DRT_raster2</t>
  </si>
  <si>
    <t>Topanga_DRT_raster2</t>
  </si>
  <si>
    <t>Mescal_DRT_raster1</t>
  </si>
  <si>
    <t>Mescal_DRT_raster2</t>
  </si>
  <si>
    <t>Puente_DRT_raster2</t>
  </si>
  <si>
    <t>Pickhandle_DRT</t>
  </si>
  <si>
    <t>Goldstone_DRT_raster1</t>
  </si>
  <si>
    <t>Goldstone_DRT_raster2</t>
  </si>
  <si>
    <t>Tropico</t>
  </si>
  <si>
    <t>San_Andreas</t>
  </si>
  <si>
    <t>Santa_Ana_DRT_raster2</t>
  </si>
  <si>
    <t>Tecoya_DRT</t>
  </si>
  <si>
    <t>Mojave_chunk</t>
  </si>
  <si>
    <t>Mojave2</t>
  </si>
  <si>
    <t>Mojave2_mini_drill</t>
  </si>
  <si>
    <t>Mojave2_DTc_drilltailings</t>
  </si>
  <si>
    <t>Mojave2_presieve_dump</t>
  </si>
  <si>
    <t>San_Francisquito_raster2</t>
  </si>
  <si>
    <t>Mojave2_postsieve_dump</t>
  </si>
  <si>
    <t>Telegraph_Peak_DRT_raster2</t>
  </si>
  <si>
    <t>Telegraph_Peak_DT</t>
  </si>
  <si>
    <t>Coalville</t>
  </si>
  <si>
    <t>Indianola</t>
  </si>
  <si>
    <t>Hyrum_DRT</t>
  </si>
  <si>
    <t>Alvord_Mountain_raster7</t>
  </si>
  <si>
    <t>Little_Devil</t>
  </si>
  <si>
    <t>Kern_Peak</t>
  </si>
  <si>
    <t>Telegraph_Peak_postsieve_dump</t>
  </si>
  <si>
    <t>La_Brea</t>
  </si>
  <si>
    <t>Bigfork</t>
  </si>
  <si>
    <t>Albert</t>
  </si>
  <si>
    <t>Ronan_DRT_2</t>
  </si>
  <si>
    <t>Wallace_DRT</t>
  </si>
  <si>
    <t>Big_Arm_raster3</t>
  </si>
  <si>
    <t>Lumpry</t>
  </si>
  <si>
    <t>Lamoose</t>
  </si>
  <si>
    <t>Buckskin_DRT_raster2</t>
  </si>
  <si>
    <t>Buckskin_mini_start_hole</t>
  </si>
  <si>
    <t>Pellew</t>
  </si>
  <si>
    <t>Buckskin_Full_Drill_Tailings_APXS</t>
  </si>
  <si>
    <t>Buckskin_presieve_dump</t>
  </si>
  <si>
    <t>Ravalli</t>
  </si>
  <si>
    <t>Buckskin_post_sieve_dump_twk</t>
  </si>
  <si>
    <t>Buckskin_post_sieve_dump_twk_corrected</t>
  </si>
  <si>
    <t>Ivanhoe</t>
  </si>
  <si>
    <t>Conniption</t>
  </si>
  <si>
    <t>Badlands</t>
  </si>
  <si>
    <t>Winnipeg</t>
  </si>
  <si>
    <t>Cody</t>
  </si>
  <si>
    <t>Big_Sky_DRT_raster2</t>
  </si>
  <si>
    <t>Big_Sky_mini_start_hole</t>
  </si>
  <si>
    <t>Big_Sky_full_drill_tailings</t>
  </si>
  <si>
    <t>Big_Sky_presieve_dump</t>
  </si>
  <si>
    <t>Big_Sky_presieve_dump_corrected</t>
  </si>
  <si>
    <t>Greenhorn_DRT</t>
  </si>
  <si>
    <t>Big_Sky_postsieve_dump</t>
  </si>
  <si>
    <t>Pilgrim</t>
  </si>
  <si>
    <t>Greenhorn_full_drill_tailings</t>
  </si>
  <si>
    <t>Greenhorn_presieve_dump</t>
  </si>
  <si>
    <t>Exshaw</t>
  </si>
  <si>
    <t>Ennis</t>
  </si>
  <si>
    <t>Augusta_DRT_offset</t>
  </si>
  <si>
    <t>Augusta_DRT_centre</t>
  </si>
  <si>
    <t>Swartkloofberg_DRT</t>
  </si>
  <si>
    <t>Weissrand</t>
  </si>
  <si>
    <t>Kibnas_APXS</t>
  </si>
  <si>
    <t>Barby_RP</t>
  </si>
  <si>
    <t>Pomona</t>
  </si>
  <si>
    <t>Elizabeth_Bay</t>
  </si>
  <si>
    <t>Greenhorn_postsieve_dump</t>
  </si>
  <si>
    <t>Gobabeb_Scuff_APXS</t>
  </si>
  <si>
    <t>Gobabeb_Scoop2_RP</t>
  </si>
  <si>
    <t>Gobabeb_DumpA_APXS</t>
  </si>
  <si>
    <t>Gobabeb_DumpD</t>
  </si>
  <si>
    <t>Gobabeb_DumpC</t>
  </si>
  <si>
    <t>Gobabeb_DumpC_corrected</t>
  </si>
  <si>
    <t>Tinkas</t>
  </si>
  <si>
    <t>Kudis</t>
  </si>
  <si>
    <t>Kuiseb_DRT</t>
  </si>
  <si>
    <t>Gobabeb_DumpE</t>
  </si>
  <si>
    <t>Gobabeb_DumpF</t>
  </si>
  <si>
    <t>Groot_Aub</t>
  </si>
  <si>
    <t>Gorob_DRT</t>
  </si>
  <si>
    <t>Waterberg</t>
  </si>
  <si>
    <t>Stockdale_DRT</t>
  </si>
  <si>
    <t>Schwarzrand_DRT</t>
  </si>
  <si>
    <t>Palmwag</t>
  </si>
  <si>
    <t>Mirabib_DRT</t>
  </si>
  <si>
    <t>Sperrgebiet_raster2</t>
  </si>
  <si>
    <t>Sperrgebiet_raster3</t>
  </si>
  <si>
    <t>Sperrgebiet_raster5</t>
  </si>
  <si>
    <t>Sperrgebiet_raster4</t>
  </si>
  <si>
    <t>Sperrgebiet_raster6</t>
  </si>
  <si>
    <t>Khomas_raster1</t>
  </si>
  <si>
    <t>Khomas_raster3</t>
  </si>
  <si>
    <t>Khomas_raster2</t>
  </si>
  <si>
    <t>Rossing</t>
  </si>
  <si>
    <t>Sesriem_Canyon_DRT</t>
  </si>
  <si>
    <t>Brukkaros_DRT</t>
  </si>
  <si>
    <t>Gudaus</t>
  </si>
  <si>
    <t>Onesi</t>
  </si>
  <si>
    <t>Uau</t>
  </si>
  <si>
    <t>Bero_DRT</t>
  </si>
  <si>
    <t>Kasane</t>
  </si>
  <si>
    <t>Cangulo</t>
  </si>
  <si>
    <t>Lubango_DRT</t>
  </si>
  <si>
    <t>Swartbank_DRT_overnight</t>
  </si>
  <si>
    <t>Lubango_fulldrill_tailings</t>
  </si>
  <si>
    <t>Lubango_presieve_apxs</t>
  </si>
  <si>
    <t>Lubango_postsieve_dump_raster3</t>
  </si>
  <si>
    <t>Okoruso_DRT_offset</t>
  </si>
  <si>
    <t>Okoruso_DRT_centre</t>
  </si>
  <si>
    <t>Okoruso_full_drill_tailings</t>
  </si>
  <si>
    <t>Okoruso_presieve_dump</t>
  </si>
  <si>
    <t>Kwakwas_offset</t>
  </si>
  <si>
    <t>Kwakwas_centre_DRT</t>
  </si>
  <si>
    <t>Nomeib</t>
  </si>
  <si>
    <t>Meob_DRT</t>
  </si>
  <si>
    <t>Groendraai</t>
  </si>
  <si>
    <t>Nauaspoort</t>
  </si>
  <si>
    <t>Inamagando_DRT</t>
  </si>
  <si>
    <t>Oudam_overnight</t>
  </si>
  <si>
    <t>Okoruso_postsieve_dump_apxs</t>
  </si>
  <si>
    <t>Oudam_tailings_APXS</t>
  </si>
  <si>
    <t>Aubures</t>
  </si>
  <si>
    <t>Oudam_presieve_dump</t>
  </si>
  <si>
    <t>Andara</t>
  </si>
  <si>
    <t>Koes_DRT_centre</t>
  </si>
  <si>
    <t>Uku</t>
  </si>
  <si>
    <t>Sonneblom</t>
  </si>
  <si>
    <t>Zambezi</t>
  </si>
  <si>
    <t>Dondo</t>
  </si>
  <si>
    <t>Chibia</t>
  </si>
  <si>
    <t>Marimba_DRT_centre</t>
  </si>
  <si>
    <t>Oudam_post_sieve_dump_pile</t>
  </si>
  <si>
    <t>Marimba2_full_drill_tailings</t>
  </si>
  <si>
    <t>Conda</t>
  </si>
  <si>
    <t>Andulo</t>
  </si>
  <si>
    <t>Ganda_DRT</t>
  </si>
  <si>
    <t>Quela_DRT_centre</t>
  </si>
  <si>
    <t>Marimba_post_sieve_dump_pile</t>
  </si>
  <si>
    <t>Quela_full_drill_tailings</t>
  </si>
  <si>
    <t>Jwaneng_DRT</t>
  </si>
  <si>
    <t>Caungula</t>
  </si>
  <si>
    <t>Catumbela_DRT</t>
  </si>
  <si>
    <t>Tobane</t>
  </si>
  <si>
    <t>Serowe_DRT</t>
  </si>
  <si>
    <t>Sebina_DRT</t>
  </si>
  <si>
    <t>Quela_postsieve_dump_bad</t>
  </si>
  <si>
    <t>Quela_postsieve_dump_raster3</t>
  </si>
  <si>
    <t>Sebina_pre_sieve_dump_pile</t>
  </si>
  <si>
    <t>Thrumcap_offset</t>
  </si>
  <si>
    <t>Thrumcap</t>
  </si>
  <si>
    <t>Penobscot_DRT</t>
  </si>
  <si>
    <t>Pemetic</t>
  </si>
  <si>
    <t>Sheep_Porcupine</t>
  </si>
  <si>
    <t>Bald_Porcupine</t>
  </si>
  <si>
    <t>Sutton_Island_DRT</t>
  </si>
  <si>
    <t>Manset</t>
  </si>
  <si>
    <t>IronBound_Island</t>
  </si>
  <si>
    <t>Precipice_DRT_offset</t>
  </si>
  <si>
    <t>Precipice_DRT</t>
  </si>
  <si>
    <t>Sebina_post_sieve_dump</t>
  </si>
  <si>
    <t>Thomas_Bay</t>
  </si>
  <si>
    <t>Beachcroft</t>
  </si>
  <si>
    <t>Echo_Lake</t>
  </si>
  <si>
    <t>Mill_Field</t>
  </si>
  <si>
    <t>Thompson_Island</t>
  </si>
  <si>
    <t>Bar_Island</t>
  </si>
  <si>
    <t>Beech_Mountain</t>
  </si>
  <si>
    <t>Eagle_Lake</t>
  </si>
  <si>
    <t>Fresh_Meadow</t>
  </si>
  <si>
    <t>Valley_Cove</t>
  </si>
  <si>
    <t>Isle_Au_Haut</t>
  </si>
  <si>
    <t>Camera_Hill</t>
  </si>
  <si>
    <t>Mars_Hill</t>
  </si>
  <si>
    <t>Bluffer_Pond</t>
  </si>
  <si>
    <t>Belle_Lake</t>
  </si>
  <si>
    <t>Misery_offset</t>
  </si>
  <si>
    <t>Misery</t>
  </si>
  <si>
    <t>Whiskey</t>
  </si>
  <si>
    <t>Rye</t>
  </si>
  <si>
    <t>Matagamon</t>
  </si>
  <si>
    <t>Flume_Ridge</t>
  </si>
  <si>
    <t>Quoddy_APXS</t>
  </si>
  <si>
    <t>Pogy</t>
  </si>
  <si>
    <t>Perry</t>
  </si>
  <si>
    <t>Spurwink</t>
  </si>
  <si>
    <t>Spider_Lake_APXS_raster1</t>
  </si>
  <si>
    <t>Spider_Lake_APXS</t>
  </si>
  <si>
    <t>Tomhegan</t>
  </si>
  <si>
    <t>Waweig</t>
  </si>
  <si>
    <t>Canada_Falls_3</t>
  </si>
  <si>
    <t>Canada_Falls_1</t>
  </si>
  <si>
    <t>Ripogenus</t>
  </si>
  <si>
    <t>Ash_Island</t>
  </si>
  <si>
    <t>Greenvale_Cove</t>
  </si>
  <si>
    <t>Junk_of_Pork_Island</t>
  </si>
  <si>
    <t>The_Hop</t>
  </si>
  <si>
    <t>Halftide_Ledge</t>
  </si>
  <si>
    <t>Flanders_Bay</t>
  </si>
  <si>
    <t>Paradise_Hill_2</t>
  </si>
  <si>
    <t>Treasure_Island</t>
  </si>
  <si>
    <t>Paradise_Hill_1</t>
  </si>
  <si>
    <t>Morancy_Stream_offset</t>
  </si>
  <si>
    <t>Morancy_Stream</t>
  </si>
  <si>
    <t>Sheldrake_Island</t>
  </si>
  <si>
    <t>Duck_Brook_Bridge</t>
  </si>
  <si>
    <t>Man_of_War_Brook</t>
  </si>
  <si>
    <t>Schoolhouse_Ledge</t>
  </si>
  <si>
    <t>Cold_Ledge</t>
  </si>
  <si>
    <t>Little_Notch</t>
  </si>
  <si>
    <t>Sagadahoc_Bay</t>
  </si>
  <si>
    <t>Myrtle_Ledge</t>
  </si>
  <si>
    <t>Mitchell_Hill</t>
  </si>
  <si>
    <t>Mason_Point</t>
  </si>
  <si>
    <t>Fern_Spring_DRT_offset</t>
  </si>
  <si>
    <t>Fern_Spring_DRT_centre</t>
  </si>
  <si>
    <t>Pulpit_Ledge</t>
  </si>
  <si>
    <t>Patty_Lot_Hill</t>
  </si>
  <si>
    <t>White_Ledge</t>
  </si>
  <si>
    <t>Berry_Cove</t>
  </si>
  <si>
    <t>Heron_Island</t>
  </si>
  <si>
    <t>Old_Mill_Brook_offset</t>
  </si>
  <si>
    <t>Old_Mill_Brook</t>
  </si>
  <si>
    <t>John_Small_Cove</t>
  </si>
  <si>
    <t>Barr_Hill</t>
  </si>
  <si>
    <t>Haynes_Point</t>
  </si>
  <si>
    <t>Frazer_Creek</t>
  </si>
  <si>
    <t>Lurvey_Spring</t>
  </si>
  <si>
    <t>McFarland_Mountain</t>
  </si>
  <si>
    <t>Winter_Harbor</t>
  </si>
  <si>
    <t>Mingo_DRT</t>
  </si>
  <si>
    <t>Jobbies</t>
  </si>
  <si>
    <t>Thomas_Little_Toes</t>
  </si>
  <si>
    <t>Enchanted_Island</t>
  </si>
  <si>
    <t>Pond_of_Tea</t>
  </si>
  <si>
    <t>Burnt_Coat</t>
  </si>
  <si>
    <t>The_Shivers</t>
  </si>
  <si>
    <t>Abagadasset</t>
  </si>
  <si>
    <t>Doliver</t>
  </si>
  <si>
    <t>Gunning_Rocks</t>
  </si>
  <si>
    <t>Robinson_Rock</t>
  </si>
  <si>
    <t>Kemps_Folly</t>
  </si>
  <si>
    <t>Schoppee</t>
  </si>
  <si>
    <t>Christmas_Cove_DRT</t>
  </si>
  <si>
    <t>Mitten_Ledge_DRT</t>
  </si>
  <si>
    <t>Pennessewassee</t>
  </si>
  <si>
    <t>Passadumkeag_DRT</t>
  </si>
  <si>
    <t>Troll_Valley</t>
  </si>
  <si>
    <t>Sherwood_Forest_DRT</t>
  </si>
  <si>
    <t>Ecca_DRT</t>
  </si>
  <si>
    <t>Duitschland</t>
  </si>
  <si>
    <t>Stormberg</t>
  </si>
  <si>
    <t>Balfour</t>
  </si>
  <si>
    <t>Sibasa_DRT</t>
  </si>
  <si>
    <t>Barberton_raster1</t>
  </si>
  <si>
    <t>Campbellrand</t>
  </si>
  <si>
    <t>Volksrust</t>
  </si>
  <si>
    <t>Waboomberg</t>
  </si>
  <si>
    <t>Platberg_DRT</t>
  </si>
  <si>
    <t>Fort_Brown_DRT</t>
  </si>
  <si>
    <t>Hexriver_DRT</t>
  </si>
  <si>
    <t>Klippan_DRT</t>
  </si>
  <si>
    <t>Klipfonteinheuwel</t>
  </si>
  <si>
    <t>Drakensberg_DRT</t>
  </si>
  <si>
    <t>Mzamba</t>
  </si>
  <si>
    <t>Muck</t>
  </si>
  <si>
    <t>Wick</t>
  </si>
  <si>
    <t>Sandness</t>
  </si>
  <si>
    <t>Goatfell</t>
  </si>
  <si>
    <t>Talisker</t>
  </si>
  <si>
    <t>Oban_DRT</t>
  </si>
  <si>
    <t>Haddo_House</t>
  </si>
  <si>
    <t>Ben_Loyal</t>
  </si>
  <si>
    <t>Assynt_RP</t>
  </si>
  <si>
    <t>Craighead_DRT</t>
  </si>
  <si>
    <t>Banff</t>
  </si>
  <si>
    <t>Unst_DRT</t>
  </si>
  <si>
    <t>Aberfoyle</t>
  </si>
  <si>
    <t>Macleans_Nose</t>
  </si>
  <si>
    <t>Ross_of_Mull_DRT</t>
  </si>
  <si>
    <t>Rona_raster2</t>
  </si>
  <si>
    <t>Funzie_APXS</t>
  </si>
  <si>
    <t>Knoydart</t>
  </si>
  <si>
    <t>Eaval</t>
  </si>
  <si>
    <t>Loch_Gairloch</t>
  </si>
  <si>
    <t>Thurso</t>
  </si>
  <si>
    <t>Loch_Tay</t>
  </si>
  <si>
    <t>Glen_Roy</t>
  </si>
  <si>
    <t>Skara_Brae</t>
  </si>
  <si>
    <t>Arnaboll</t>
  </si>
  <si>
    <t>Newmachar_offset</t>
  </si>
  <si>
    <t>Newmachar_DRT</t>
  </si>
  <si>
    <t>Forties</t>
  </si>
  <si>
    <t>Lake_Orcadie_DRT</t>
  </si>
  <si>
    <t>Ogunquit_Beach_postsieve_dump</t>
  </si>
  <si>
    <t>Ogunquit_Beach_presieve_dump</t>
  </si>
  <si>
    <t>Lake_Orcadie_Offset_1</t>
  </si>
  <si>
    <t>Benbecula</t>
  </si>
  <si>
    <t>Rockall</t>
  </si>
  <si>
    <t>Lake_Orcadie_Drill_Tailings</t>
  </si>
  <si>
    <t>Lake_Orcadie2_Drill</t>
  </si>
  <si>
    <t>Lake_Orcadie2_DRT</t>
  </si>
  <si>
    <t>Lake_Orcadie2_post_Drill</t>
  </si>
  <si>
    <t>Barkeval</t>
  </si>
  <si>
    <t>North_Harris</t>
  </si>
  <si>
    <t>Paisley</t>
  </si>
  <si>
    <t>Durness</t>
  </si>
  <si>
    <t>Sgurr_of_Eigg_DRT</t>
  </si>
  <si>
    <t>Appin</t>
  </si>
  <si>
    <t>Brora_DRT</t>
  </si>
  <si>
    <t>Murchison</t>
  </si>
  <si>
    <t>Stranraer_DRT</t>
  </si>
  <si>
    <t>Dun_Caan</t>
  </si>
  <si>
    <t>Lanark_DRT</t>
  </si>
  <si>
    <t>Lingarabay_DRT</t>
  </si>
  <si>
    <t>Staffa</t>
  </si>
  <si>
    <t>Tyndrum</t>
  </si>
  <si>
    <t>Askival_raster2</t>
  </si>
  <si>
    <t>Sanquhar</t>
  </si>
  <si>
    <t>Rousay</t>
  </si>
  <si>
    <t>Minginish</t>
  </si>
  <si>
    <t>Arrochar</t>
  </si>
  <si>
    <t>Kemnay</t>
  </si>
  <si>
    <t>Hawick</t>
  </si>
  <si>
    <t>Babbitt</t>
  </si>
  <si>
    <t>Nashwauk</t>
  </si>
  <si>
    <t>Pigeon_River_DRT</t>
  </si>
  <si>
    <t>Bald_Eagle_Lake_DRT</t>
  </si>
  <si>
    <t>Giants_Range_DRT</t>
  </si>
  <si>
    <t>Bilbert_DRT</t>
  </si>
  <si>
    <t>Carleton</t>
  </si>
  <si>
    <t>Floodwood_DRT</t>
  </si>
  <si>
    <t>Duluth_DRT</t>
  </si>
  <si>
    <t>Duluth_DBA_dump_offset</t>
  </si>
  <si>
    <t>Duluth_DBA_dump_center</t>
  </si>
  <si>
    <t>Hunter_Lake</t>
  </si>
  <si>
    <t>Caribou_Lake_DRT</t>
  </si>
  <si>
    <t>Dumbarton_Rock_DRT</t>
  </si>
  <si>
    <t>Duntelchaig</t>
  </si>
  <si>
    <t>Voyageurs_DRT</t>
  </si>
  <si>
    <t>Voyageurs_DRT_Drill_Tailings</t>
  </si>
  <si>
    <t>Voyageurs_DRT_post_Drill</t>
  </si>
  <si>
    <t>Walsay</t>
  </si>
  <si>
    <t>Ailsa_Craig_offset</t>
  </si>
  <si>
    <t>Ailsa_Craig_DRT</t>
  </si>
  <si>
    <t>Ailsa_Craig_post_Drill</t>
  </si>
  <si>
    <t>Ailsa_Craig_Drill_Tailings</t>
  </si>
  <si>
    <t>Diabaig</t>
  </si>
  <si>
    <t>Slioch</t>
  </si>
  <si>
    <t>Mount_Battock</t>
  </si>
  <si>
    <t>Scourie_More</t>
  </si>
  <si>
    <t>Stoer_DRT</t>
  </si>
  <si>
    <t>Stoer_dump_offset</t>
  </si>
  <si>
    <t>Stoer_dump_centre</t>
  </si>
  <si>
    <t>Tayvallich</t>
  </si>
  <si>
    <t>Burn_O_Vat</t>
  </si>
  <si>
    <t>Trollochy</t>
  </si>
  <si>
    <t>Portobello</t>
  </si>
  <si>
    <t>Inverness_offset</t>
  </si>
  <si>
    <t>Inverness_DRT</t>
  </si>
  <si>
    <t>Grange</t>
  </si>
  <si>
    <t>Inverness_minidrill</t>
  </si>
  <si>
    <t>Calgary_DRT</t>
  </si>
  <si>
    <t>Highfield_offset</t>
  </si>
  <si>
    <t>Highfield_DRT</t>
  </si>
  <si>
    <t>Highfield_dump_centre</t>
  </si>
  <si>
    <t>Highfield_dump_offset</t>
  </si>
  <si>
    <t>Highfield_Drill_Tailings</t>
  </si>
  <si>
    <t>Springside</t>
  </si>
  <si>
    <t>Woodhill_DRT</t>
  </si>
  <si>
    <t>Rock_Hall</t>
  </si>
  <si>
    <t>Rock_Hall_dump_offset</t>
  </si>
  <si>
    <t>Rock_Hall_dump_center</t>
  </si>
  <si>
    <t>Rock_Hall_dump_corrected</t>
  </si>
  <si>
    <t>Rock_Hall_Drill_Tailings</t>
  </si>
  <si>
    <t>Bothwell_DRT</t>
  </si>
  <si>
    <t>Puddledub</t>
  </si>
  <si>
    <t>Loch_Ness_DRT</t>
  </si>
  <si>
    <t>Brent_raster2</t>
  </si>
  <si>
    <t>Brent_raster3</t>
  </si>
  <si>
    <t>Emerald_raster1</t>
  </si>
  <si>
    <t>Emerald_raster2</t>
  </si>
  <si>
    <t>Emerald_centre</t>
  </si>
  <si>
    <t>Gannet</t>
  </si>
  <si>
    <t>Curlew_DRT</t>
  </si>
  <si>
    <t>Alloa</t>
  </si>
  <si>
    <t>Auchterarder</t>
  </si>
  <si>
    <t>Fife</t>
  </si>
  <si>
    <t>Caledonia_centre</t>
  </si>
  <si>
    <t>Caledonia_left</t>
  </si>
  <si>
    <t>Arbuthnott_DRT</t>
  </si>
  <si>
    <t>Snorre</t>
  </si>
  <si>
    <t>Ardnamurchan</t>
  </si>
  <si>
    <t>Maud</t>
  </si>
  <si>
    <t>Aberlady_DRT</t>
  </si>
  <si>
    <t>Aberlady_dump_offset</t>
  </si>
  <si>
    <t>Aberlady_dump_centre_failed</t>
  </si>
  <si>
    <t>Aberlady_dump_corrected</t>
  </si>
  <si>
    <t>Aberlady_drill_tailings_red</t>
  </si>
  <si>
    <t>Aberlady_drill_tailings_pale</t>
  </si>
  <si>
    <t>Kilmarie_offset</t>
  </si>
  <si>
    <t>Kilmarie</t>
  </si>
  <si>
    <t>Kilmarie_dump_centre</t>
  </si>
  <si>
    <t>Kilmarie_dump_offset</t>
  </si>
  <si>
    <t>Dunoon</t>
  </si>
  <si>
    <t>Gairsay</t>
  </si>
  <si>
    <t>Nairn</t>
  </si>
  <si>
    <t>Ellon</t>
  </si>
  <si>
    <t>Broad_Cairn_offset</t>
  </si>
  <si>
    <t>Kinghorn</t>
  </si>
  <si>
    <t>Morningside_raster1</t>
  </si>
  <si>
    <t>Morningside_raster2</t>
  </si>
  <si>
    <t>Morningside_raster3</t>
  </si>
  <si>
    <t>Tobermory</t>
  </si>
  <si>
    <t>Mons_Graupius</t>
  </si>
  <si>
    <t>Gullane</t>
  </si>
  <si>
    <t>Hill_of_Skares</t>
  </si>
  <si>
    <t>Almond_raster1</t>
  </si>
  <si>
    <t>Almond_raster2</t>
  </si>
  <si>
    <t>Iapetus</t>
  </si>
  <si>
    <t>Urr</t>
  </si>
  <si>
    <t>Calgary_Bay</t>
  </si>
  <si>
    <t>Beauly_DRT</t>
  </si>
  <si>
    <t>Stack_of_Glencoul</t>
  </si>
  <si>
    <t>Buckie_DRT</t>
  </si>
  <si>
    <t>Magnus_Bay</t>
  </si>
  <si>
    <t>Newtonhill</t>
  </si>
  <si>
    <t>Oykel_DRT</t>
  </si>
  <si>
    <t>Sligachan</t>
  </si>
  <si>
    <t>Feshie</t>
  </si>
  <si>
    <t>Kirbuster</t>
  </si>
  <si>
    <t>Ecclefechan</t>
  </si>
  <si>
    <t>Solway_Firth_DRT</t>
  </si>
  <si>
    <t>East_Shetland_DRT</t>
  </si>
  <si>
    <t>Mither_Tap</t>
  </si>
  <si>
    <t>Moine</t>
  </si>
  <si>
    <t>Fetterangus</t>
  </si>
  <si>
    <t>Glen_Etive_1_DRT</t>
  </si>
  <si>
    <t>Glen_Etive_2_DRT</t>
  </si>
  <si>
    <t>Glen_Etive_1_dump_offset</t>
  </si>
  <si>
    <t>Glen_Etive_1_dump_centre</t>
  </si>
  <si>
    <t>Glen_Etive_1_tailings</t>
  </si>
  <si>
    <t>Glen_Etive_1_dump_substrate1</t>
  </si>
  <si>
    <t>Glen_Etive_1_dump_substrate2</t>
  </si>
  <si>
    <t>Glen_Etive_2_dump_offset</t>
  </si>
  <si>
    <t>Glen_Etive_2_dump_corrected</t>
  </si>
  <si>
    <t>Glen_Etive_2_tailings</t>
  </si>
  <si>
    <t>High_Plains</t>
  </si>
  <si>
    <t>Skipness</t>
  </si>
  <si>
    <t>Burrowgate</t>
  </si>
  <si>
    <t>Clackmannanshire</t>
  </si>
  <si>
    <t>Shetland</t>
  </si>
  <si>
    <t>South_Ronaldsay_DRT</t>
  </si>
  <si>
    <t>Stonehive</t>
  </si>
  <si>
    <t>Upperhill_DRT</t>
  </si>
  <si>
    <t>Conachair_offset</t>
  </si>
  <si>
    <t>Conachair_DRT</t>
  </si>
  <si>
    <t>Sourhope</t>
  </si>
  <si>
    <t>Kirkcudbrightshire</t>
  </si>
  <si>
    <t>Blawhorn</t>
  </si>
  <si>
    <t>Gorgie</t>
  </si>
  <si>
    <t>Muckle_Flugga_DRT</t>
  </si>
  <si>
    <t>Flow_Country_raster1</t>
  </si>
  <si>
    <t>Flow_Country_centre</t>
  </si>
  <si>
    <t>Everbay_DRT</t>
  </si>
  <si>
    <t>Latheron</t>
  </si>
  <si>
    <t>Inverurie_DRT</t>
  </si>
  <si>
    <t>Gretna_Green</t>
  </si>
  <si>
    <t>Scotnish_DRT</t>
  </si>
  <si>
    <t>Ben_Arnaboll_DRT</t>
  </si>
  <si>
    <t>Blackwaterfoot</t>
  </si>
  <si>
    <t>Buchan_Haven_DRT</t>
  </si>
  <si>
    <t>Heinrich_Waenke</t>
  </si>
  <si>
    <t>Abernethy</t>
  </si>
  <si>
    <t>Lomond_Hills</t>
  </si>
  <si>
    <t>Trossachs_DRT</t>
  </si>
  <si>
    <t>Rannoch_Moor</t>
  </si>
  <si>
    <t>Bogmill_Pow</t>
  </si>
  <si>
    <t>Cullivoe_DRT</t>
  </si>
  <si>
    <t>Cairnbulg</t>
  </si>
  <si>
    <t>Berwickshire_DRT</t>
  </si>
  <si>
    <t>Hutton_DRT_offset</t>
  </si>
  <si>
    <t>Hutton_DRT_centre</t>
  </si>
  <si>
    <t>Traprain_Law</t>
  </si>
  <si>
    <t>Hutton_dump_centre</t>
  </si>
  <si>
    <t>Hutton_dump_corrected</t>
  </si>
  <si>
    <t>Galloway_Hills_DRT</t>
  </si>
  <si>
    <t>Forsinard_Flows</t>
  </si>
  <si>
    <t>Forsinard_Flows_offset</t>
  </si>
  <si>
    <t>Machir_Bay_DRT</t>
  </si>
  <si>
    <t>Glen_Feshie</t>
  </si>
  <si>
    <t>Assynt_Window_DRT</t>
  </si>
  <si>
    <t>Edinburgh_offset</t>
  </si>
  <si>
    <t>Edinburgh_DRT</t>
  </si>
  <si>
    <t>Eshaness_DRT</t>
  </si>
  <si>
    <t>Fe2O3</t>
  </si>
  <si>
    <t>177-180</t>
  </si>
  <si>
    <t>229 &amp; 250</t>
  </si>
  <si>
    <t>285-286</t>
  </si>
  <si>
    <t>311-312</t>
  </si>
  <si>
    <t>29 &amp; 30</t>
  </si>
  <si>
    <t>595-596</t>
  </si>
  <si>
    <t>C-1</t>
  </si>
  <si>
    <t>C-2</t>
  </si>
  <si>
    <t>C-5</t>
  </si>
  <si>
    <t>C-6</t>
  </si>
  <si>
    <t>C-7</t>
  </si>
  <si>
    <t>C-8</t>
  </si>
  <si>
    <t>C-9</t>
  </si>
  <si>
    <t>C-11</t>
  </si>
  <si>
    <t>C-13</t>
  </si>
  <si>
    <t>U-1</t>
  </si>
  <si>
    <t>U-2</t>
  </si>
  <si>
    <t>U-3</t>
  </si>
  <si>
    <t>U-4</t>
  </si>
  <si>
    <t>U-5</t>
  </si>
  <si>
    <t>U-6</t>
  </si>
  <si>
    <t>U-7</t>
  </si>
  <si>
    <t>U-8</t>
  </si>
  <si>
    <t>Sample</t>
  </si>
  <si>
    <t>±6</t>
  </si>
  <si>
    <t>±4</t>
  </si>
  <si>
    <t xml:space="preserve"> -2 to +5</t>
  </si>
  <si>
    <t xml:space="preserve"> -3 to +5</t>
  </si>
  <si>
    <t>±2</t>
  </si>
  <si>
    <t>±0.5</t>
  </si>
  <si>
    <t xml:space="preserve"> -2 to +6</t>
  </si>
  <si>
    <t xml:space="preserve"> -0.5 to +1.5</t>
  </si>
  <si>
    <t>Regolith</t>
  </si>
  <si>
    <t>Rock</t>
  </si>
  <si>
    <t>Clarke 1982</t>
  </si>
  <si>
    <t>Soil</t>
  </si>
  <si>
    <t>CU,SU,SD,ST</t>
  </si>
  <si>
    <t>RU, RB,RR</t>
  </si>
  <si>
    <t>SB, Su, SD, ST, SC, CU, SF</t>
  </si>
  <si>
    <t>Rock (n = 132)</t>
  </si>
  <si>
    <t>Soil ( n =90)</t>
  </si>
  <si>
    <t>Soil ( n=67)</t>
  </si>
  <si>
    <t>Total n = 222</t>
  </si>
  <si>
    <t>Rock ( n = 303)</t>
  </si>
  <si>
    <t>Total = 370</t>
  </si>
  <si>
    <t>Rock (n=5)</t>
  </si>
  <si>
    <t>RU, RB, RR, OB, OU</t>
  </si>
  <si>
    <t>Soil (n=7)</t>
  </si>
  <si>
    <t>A-8</t>
  </si>
  <si>
    <t>Scooby Doo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</si>
</sst>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/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2" fontId="0" fillId="0" borderId="0" xfId="0" applyNumberFormat="1"/>
    <xf numFmtId="2" fontId="0" fillId="0" borderId="0" xfId="0" applyNumberFormat="1" applyAlignment="1">
      <alignment horizontal="right" vertical="center"/>
    </xf>
    <xf numFmtId="0" fontId="0" fillId="0" borderId="0" xfId="0" applyAlignment="1">
      <alignment horizontal="center"/>
    </xf>
    <xf numFmtId="1" fontId="0" fillId="0" borderId="0" xfId="0" applyNumberFormat="1"/>
    <xf numFmtId="2" fontId="0" fillId="0" borderId="0" xfId="0" applyNumberFormat="1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2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righ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66FF"/>
      <color rgb="FFFF9933"/>
      <color rgb="FFCCCCFF"/>
      <color rgb="FF07C9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C54C7-9E0E-4A2F-BC83-68C8A70E644F}">
  <dimension ref="A1:BB573"/>
  <sheetViews>
    <sheetView zoomScale="85" zoomScaleNormal="85" workbookViewId="0">
      <pane ySplit="6" topLeftCell="A7" activePane="bottomLeft" state="frozen"/>
      <selection pane="bottomLeft" activeCell="B41" sqref="B41"/>
    </sheetView>
  </sheetViews>
  <sheetFormatPr defaultRowHeight="15" x14ac:dyDescent="0.25"/>
  <cols>
    <col min="2" max="2" width="40.140625" bestFit="1" customWidth="1"/>
    <col min="3" max="3" width="7.42578125" customWidth="1"/>
    <col min="11" max="12" width="9.85546875" customWidth="1"/>
    <col min="19" max="19" width="9.42578125" customWidth="1"/>
  </cols>
  <sheetData>
    <row r="1" spans="1:54" x14ac:dyDescent="0.25">
      <c r="A1" t="s">
        <v>668</v>
      </c>
    </row>
    <row r="3" spans="1:54" x14ac:dyDescent="0.25">
      <c r="B3" s="30" t="s">
        <v>65</v>
      </c>
      <c r="C3" s="20">
        <f>AVERAGE(C7:C566)</f>
        <v>46.074892857142871</v>
      </c>
      <c r="D3" s="20">
        <f>_xlfn.STDEV.S(C7:C566)</f>
        <v>7.1076027969917979</v>
      </c>
      <c r="E3" s="20">
        <f>AVERAGE(E7:E566)</f>
        <v>0.99219642857142976</v>
      </c>
      <c r="F3" s="20">
        <f>_xlfn.STDEV.S(F7:F566)</f>
        <v>9.414158147512482E-3</v>
      </c>
      <c r="G3" s="20">
        <f>AVERAGE(G7:G566)</f>
        <v>8.7963214285714368</v>
      </c>
      <c r="H3" s="20">
        <f>_xlfn.STDEV.S(G7:G566)</f>
        <v>1.7669669302606288</v>
      </c>
      <c r="I3" s="20">
        <f>AVERAGE(I7:I566)</f>
        <v>0.33632142857142883</v>
      </c>
      <c r="J3" s="20">
        <f>_xlfn.STDEV.S(J7:J566)</f>
        <v>6.411938615632151E-3</v>
      </c>
      <c r="K3" s="20">
        <f>AVERAGE(K7:K566)</f>
        <v>18.185196428571416</v>
      </c>
      <c r="L3" s="20">
        <f>_xlfn.STDEV.S(K7:K566)</f>
        <v>4.3659256679530714</v>
      </c>
      <c r="M3" s="20">
        <f>AVERAGE(M7:M566)</f>
        <v>0.28032142857142844</v>
      </c>
      <c r="N3" s="20">
        <f>_xlfn.STDEV.S(N7:N566)</f>
        <v>8.1013694879239935E-3</v>
      </c>
      <c r="O3" s="20">
        <f>AVERAGE(O7:O566)</f>
        <v>6.378196428571429</v>
      </c>
      <c r="P3" s="20">
        <f>_xlfn.STDEV.S(O7:O566)</f>
        <v>2.1119560316854438</v>
      </c>
      <c r="Q3" s="20">
        <f>AVERAGE(Q7:Q566)</f>
        <v>5.9283571428571404</v>
      </c>
      <c r="R3" s="20">
        <f>_xlfn.STDEV.S(R7:R566)</f>
        <v>3.7068257468218888E-2</v>
      </c>
      <c r="S3" s="20">
        <f>AVERAGE(S7:S566)</f>
        <v>2.5929821428571405</v>
      </c>
      <c r="T3" s="20">
        <f>_xlfn.STDEV.S(S7:S566)</f>
        <v>0.54035984800270831</v>
      </c>
      <c r="U3" s="20">
        <f>AVERAGE(U7:U566)</f>
        <v>0.83425000000000027</v>
      </c>
      <c r="V3" s="20">
        <f>_xlfn.STDEV.S(V7:V566)</f>
        <v>1.5969239534045086E-2</v>
      </c>
      <c r="W3" s="20">
        <f>AVERAGE(W7:W566)</f>
        <v>0.96203571428571455</v>
      </c>
      <c r="X3" s="20">
        <f>_xlfn.STDEV.S(W7:W566)</f>
        <v>0.33902015835947574</v>
      </c>
      <c r="Y3" s="20">
        <f>AVERAGE(Y7:Y566)</f>
        <v>7.2068035714285745</v>
      </c>
      <c r="Z3" s="20">
        <f>_xlfn.STDEV.S(Z7:Z566)</f>
        <v>5.3573403575486768E-2</v>
      </c>
      <c r="AA3" s="20">
        <f>AVERAGE(AA7:AA566)</f>
        <v>1.1535714285714289</v>
      </c>
      <c r="AB3" s="20">
        <f>_xlfn.STDEV.S(AA7:AA566)</f>
        <v>0.53198426467182081</v>
      </c>
    </row>
    <row r="4" spans="1:54" x14ac:dyDescent="0.25">
      <c r="B4" s="17"/>
      <c r="C4" s="4" t="s">
        <v>53</v>
      </c>
      <c r="D4" s="4" t="s">
        <v>92</v>
      </c>
      <c r="E4" s="4" t="s">
        <v>54</v>
      </c>
      <c r="F4" s="4" t="s">
        <v>92</v>
      </c>
      <c r="G4" s="4" t="s">
        <v>55</v>
      </c>
      <c r="H4" s="4" t="s">
        <v>92</v>
      </c>
      <c r="I4" s="4" t="s">
        <v>56</v>
      </c>
      <c r="J4" s="4" t="s">
        <v>92</v>
      </c>
      <c r="K4" s="4" t="s">
        <v>82</v>
      </c>
      <c r="L4" s="4" t="s">
        <v>92</v>
      </c>
      <c r="M4" s="4" t="s">
        <v>57</v>
      </c>
      <c r="N4" s="4" t="s">
        <v>92</v>
      </c>
      <c r="O4" s="4" t="s">
        <v>58</v>
      </c>
      <c r="P4" s="4" t="s">
        <v>92</v>
      </c>
      <c r="Q4" s="4" t="s">
        <v>59</v>
      </c>
      <c r="R4" s="4" t="s">
        <v>92</v>
      </c>
      <c r="S4" s="4" t="s">
        <v>60</v>
      </c>
      <c r="T4" s="4" t="s">
        <v>92</v>
      </c>
      <c r="U4" s="4" t="s">
        <v>61</v>
      </c>
      <c r="V4" s="4" t="s">
        <v>92</v>
      </c>
      <c r="W4" s="4" t="s">
        <v>62</v>
      </c>
      <c r="X4" s="4" t="s">
        <v>92</v>
      </c>
      <c r="Y4" s="4" t="s">
        <v>63</v>
      </c>
      <c r="Z4" s="4" t="s">
        <v>92</v>
      </c>
      <c r="AA4" s="4" t="s">
        <v>64</v>
      </c>
      <c r="AB4" s="4" t="s">
        <v>92</v>
      </c>
    </row>
    <row r="6" spans="1:54" x14ac:dyDescent="0.25">
      <c r="A6" t="s">
        <v>669</v>
      </c>
      <c r="B6" t="s">
        <v>670</v>
      </c>
      <c r="C6" t="s">
        <v>53</v>
      </c>
      <c r="D6" t="s">
        <v>671</v>
      </c>
      <c r="E6" t="s">
        <v>54</v>
      </c>
      <c r="F6" t="s">
        <v>672</v>
      </c>
      <c r="G6" t="s">
        <v>55</v>
      </c>
      <c r="H6" t="s">
        <v>673</v>
      </c>
      <c r="I6" t="s">
        <v>56</v>
      </c>
      <c r="J6" t="s">
        <v>674</v>
      </c>
      <c r="K6" t="s">
        <v>82</v>
      </c>
      <c r="L6" t="s">
        <v>675</v>
      </c>
      <c r="M6" t="s">
        <v>57</v>
      </c>
      <c r="N6" t="s">
        <v>676</v>
      </c>
      <c r="O6" t="s">
        <v>58</v>
      </c>
      <c r="P6" t="s">
        <v>677</v>
      </c>
      <c r="Q6" t="s">
        <v>59</v>
      </c>
      <c r="R6" t="s">
        <v>678</v>
      </c>
      <c r="S6" t="s">
        <v>60</v>
      </c>
      <c r="T6" t="s">
        <v>679</v>
      </c>
      <c r="U6" t="s">
        <v>61</v>
      </c>
      <c r="V6" t="s">
        <v>680</v>
      </c>
      <c r="W6" t="s">
        <v>62</v>
      </c>
      <c r="X6" t="s">
        <v>681</v>
      </c>
      <c r="Y6" t="s">
        <v>63</v>
      </c>
      <c r="Z6" t="s">
        <v>682</v>
      </c>
      <c r="AA6" t="s">
        <v>64</v>
      </c>
      <c r="AB6" t="s">
        <v>683</v>
      </c>
      <c r="AW6" t="s">
        <v>112</v>
      </c>
      <c r="AX6" t="s">
        <v>684</v>
      </c>
      <c r="AY6" t="s">
        <v>114</v>
      </c>
      <c r="AZ6" t="s">
        <v>685</v>
      </c>
      <c r="BA6" t="s">
        <v>116</v>
      </c>
      <c r="BB6" t="s">
        <v>686</v>
      </c>
    </row>
    <row r="7" spans="1:54" x14ac:dyDescent="0.25">
      <c r="A7">
        <v>89</v>
      </c>
      <c r="B7" t="s">
        <v>687</v>
      </c>
      <c r="C7">
        <v>42.97</v>
      </c>
      <c r="D7">
        <v>0.54</v>
      </c>
      <c r="E7">
        <v>1.19</v>
      </c>
      <c r="F7">
        <v>0.05</v>
      </c>
      <c r="G7">
        <v>9.3699999999999992</v>
      </c>
      <c r="H7">
        <v>0.19</v>
      </c>
      <c r="I7">
        <v>0.49</v>
      </c>
      <c r="J7">
        <v>0.03</v>
      </c>
      <c r="K7">
        <v>19.18</v>
      </c>
      <c r="L7">
        <v>0.2</v>
      </c>
      <c r="M7">
        <v>0.42</v>
      </c>
      <c r="N7">
        <v>0.04</v>
      </c>
      <c r="O7">
        <v>8.69</v>
      </c>
      <c r="P7">
        <v>0.25</v>
      </c>
      <c r="Q7">
        <v>7.26</v>
      </c>
      <c r="R7">
        <v>0.08</v>
      </c>
      <c r="S7">
        <v>2.7</v>
      </c>
      <c r="T7">
        <v>0.14000000000000001</v>
      </c>
      <c r="U7">
        <v>0.49</v>
      </c>
      <c r="V7">
        <v>0.02</v>
      </c>
      <c r="W7">
        <v>0.95</v>
      </c>
      <c r="X7">
        <v>7.0000000000000007E-2</v>
      </c>
      <c r="Y7">
        <v>5.47</v>
      </c>
      <c r="Z7">
        <v>0.1</v>
      </c>
      <c r="AA7">
        <v>0.69</v>
      </c>
      <c r="AB7">
        <v>0.03</v>
      </c>
      <c r="AF7" s="26"/>
      <c r="AG7" s="26"/>
      <c r="AH7" s="26"/>
      <c r="AI7" s="26"/>
      <c r="AJ7" s="26"/>
      <c r="AW7">
        <v>456</v>
      </c>
      <c r="AX7">
        <v>30</v>
      </c>
      <c r="AY7">
        <v>326</v>
      </c>
      <c r="AZ7">
        <v>15</v>
      </c>
      <c r="BA7">
        <v>34</v>
      </c>
      <c r="BB7">
        <v>10</v>
      </c>
    </row>
    <row r="8" spans="1:54" x14ac:dyDescent="0.25">
      <c r="A8">
        <v>129</v>
      </c>
      <c r="B8" t="s">
        <v>688</v>
      </c>
      <c r="C8">
        <v>41.36</v>
      </c>
      <c r="D8">
        <v>0.43</v>
      </c>
      <c r="E8">
        <v>0.95</v>
      </c>
      <c r="F8">
        <v>0.03</v>
      </c>
      <c r="G8">
        <v>8.1999999999999993</v>
      </c>
      <c r="H8">
        <v>0.19</v>
      </c>
      <c r="I8">
        <v>0.49</v>
      </c>
      <c r="J8">
        <v>0.01</v>
      </c>
      <c r="K8">
        <v>21.6</v>
      </c>
      <c r="L8">
        <v>0.26</v>
      </c>
      <c r="M8">
        <v>0.36</v>
      </c>
      <c r="N8">
        <v>0.02</v>
      </c>
      <c r="O8">
        <v>8.67</v>
      </c>
      <c r="P8">
        <v>0.25</v>
      </c>
      <c r="Q8">
        <v>6.63</v>
      </c>
      <c r="R8">
        <v>7.0000000000000007E-2</v>
      </c>
      <c r="S8">
        <v>2.59</v>
      </c>
      <c r="T8">
        <v>0.14000000000000001</v>
      </c>
      <c r="U8">
        <v>0.42</v>
      </c>
      <c r="V8">
        <v>0.02</v>
      </c>
      <c r="W8">
        <v>0.93</v>
      </c>
      <c r="X8">
        <v>7.0000000000000007E-2</v>
      </c>
      <c r="Y8">
        <v>6.42</v>
      </c>
      <c r="Z8">
        <v>0.08</v>
      </c>
      <c r="AA8">
        <v>1.18</v>
      </c>
      <c r="AB8">
        <v>0.02</v>
      </c>
      <c r="AW8">
        <v>441</v>
      </c>
      <c r="AX8">
        <v>24</v>
      </c>
      <c r="AY8">
        <v>795</v>
      </c>
      <c r="AZ8">
        <v>24</v>
      </c>
      <c r="BA8">
        <v>324</v>
      </c>
      <c r="BB8">
        <v>10</v>
      </c>
    </row>
    <row r="9" spans="1:54" x14ac:dyDescent="0.25">
      <c r="A9">
        <v>149</v>
      </c>
      <c r="B9" t="s">
        <v>689</v>
      </c>
      <c r="C9">
        <v>43.47</v>
      </c>
      <c r="D9">
        <v>0.54</v>
      </c>
      <c r="E9">
        <v>0.93</v>
      </c>
      <c r="F9">
        <v>0.03</v>
      </c>
      <c r="G9">
        <v>8.08</v>
      </c>
      <c r="H9">
        <v>0.19</v>
      </c>
      <c r="I9">
        <v>0.41</v>
      </c>
      <c r="J9">
        <v>0.01</v>
      </c>
      <c r="K9">
        <v>20.28</v>
      </c>
      <c r="L9">
        <v>0.26</v>
      </c>
      <c r="M9">
        <v>0.25</v>
      </c>
      <c r="N9">
        <v>0.02</v>
      </c>
      <c r="O9">
        <v>8.42</v>
      </c>
      <c r="P9">
        <v>0.25</v>
      </c>
      <c r="Q9">
        <v>6.24</v>
      </c>
      <c r="R9">
        <v>7.0000000000000007E-2</v>
      </c>
      <c r="S9">
        <v>2.54</v>
      </c>
      <c r="T9">
        <v>0.14000000000000001</v>
      </c>
      <c r="U9">
        <v>0.55000000000000004</v>
      </c>
      <c r="V9">
        <v>0.02</v>
      </c>
      <c r="W9">
        <v>1.04</v>
      </c>
      <c r="X9">
        <v>7.0000000000000007E-2</v>
      </c>
      <c r="Y9">
        <v>6.2</v>
      </c>
      <c r="Z9">
        <v>0.08</v>
      </c>
      <c r="AA9">
        <v>1.4</v>
      </c>
      <c r="AB9">
        <v>0.02</v>
      </c>
      <c r="AW9">
        <v>500</v>
      </c>
      <c r="AX9">
        <v>24</v>
      </c>
      <c r="AY9">
        <v>778</v>
      </c>
      <c r="AZ9">
        <v>24</v>
      </c>
      <c r="BA9">
        <v>309</v>
      </c>
      <c r="BB9">
        <v>10</v>
      </c>
    </row>
    <row r="10" spans="1:54" x14ac:dyDescent="0.25">
      <c r="A10">
        <v>150</v>
      </c>
      <c r="B10" t="s">
        <v>690</v>
      </c>
      <c r="C10">
        <v>45.28</v>
      </c>
      <c r="D10">
        <v>0.54</v>
      </c>
      <c r="E10">
        <v>0.88</v>
      </c>
      <c r="F10">
        <v>0.03</v>
      </c>
      <c r="G10">
        <v>8.2799999999999994</v>
      </c>
      <c r="H10">
        <v>0.19</v>
      </c>
      <c r="I10">
        <v>0.45</v>
      </c>
      <c r="J10">
        <v>0.01</v>
      </c>
      <c r="K10">
        <v>20.29</v>
      </c>
      <c r="L10">
        <v>0.26</v>
      </c>
      <c r="M10">
        <v>0.22</v>
      </c>
      <c r="N10">
        <v>0.02</v>
      </c>
      <c r="O10">
        <v>9.66</v>
      </c>
      <c r="P10">
        <v>0.25</v>
      </c>
      <c r="Q10">
        <v>5.9</v>
      </c>
      <c r="R10">
        <v>7.0000000000000007E-2</v>
      </c>
      <c r="S10">
        <v>2.78</v>
      </c>
      <c r="T10">
        <v>0.14000000000000001</v>
      </c>
      <c r="U10">
        <v>0.62</v>
      </c>
      <c r="V10">
        <v>0.02</v>
      </c>
      <c r="W10">
        <v>1.07</v>
      </c>
      <c r="X10">
        <v>7.0000000000000007E-2</v>
      </c>
      <c r="Y10">
        <v>2.59</v>
      </c>
      <c r="Z10">
        <v>0.05</v>
      </c>
      <c r="AA10">
        <v>1.78</v>
      </c>
      <c r="AB10">
        <v>0.02</v>
      </c>
      <c r="AW10">
        <v>480</v>
      </c>
      <c r="AX10">
        <v>24</v>
      </c>
      <c r="AY10">
        <v>785</v>
      </c>
      <c r="AZ10">
        <v>24</v>
      </c>
      <c r="BA10">
        <v>324</v>
      </c>
      <c r="BB10">
        <v>10</v>
      </c>
    </row>
    <row r="11" spans="1:54" x14ac:dyDescent="0.25">
      <c r="A11">
        <v>154</v>
      </c>
      <c r="B11" t="s">
        <v>691</v>
      </c>
      <c r="C11">
        <v>40.369999999999997</v>
      </c>
      <c r="D11">
        <v>0.43</v>
      </c>
      <c r="E11">
        <v>0.86</v>
      </c>
      <c r="F11">
        <v>0.03</v>
      </c>
      <c r="G11">
        <v>7.9</v>
      </c>
      <c r="H11">
        <v>0.19</v>
      </c>
      <c r="I11">
        <v>0.36</v>
      </c>
      <c r="J11">
        <v>0.01</v>
      </c>
      <c r="K11">
        <v>19.079999999999998</v>
      </c>
      <c r="L11">
        <v>0.2</v>
      </c>
      <c r="M11">
        <v>0.23</v>
      </c>
      <c r="N11">
        <v>0.02</v>
      </c>
      <c r="O11">
        <v>8.14</v>
      </c>
      <c r="P11">
        <v>0.17</v>
      </c>
      <c r="Q11">
        <v>7.75</v>
      </c>
      <c r="R11">
        <v>0.08</v>
      </c>
      <c r="S11">
        <v>2.4700000000000002</v>
      </c>
      <c r="T11">
        <v>0.14000000000000001</v>
      </c>
      <c r="U11">
        <v>0.53</v>
      </c>
      <c r="V11">
        <v>0.02</v>
      </c>
      <c r="W11">
        <v>0.99</v>
      </c>
      <c r="X11">
        <v>7.0000000000000007E-2</v>
      </c>
      <c r="Y11">
        <v>9.6999999999999993</v>
      </c>
      <c r="Z11">
        <v>0.1</v>
      </c>
      <c r="AA11">
        <v>1.44</v>
      </c>
      <c r="AB11">
        <v>0.02</v>
      </c>
      <c r="AW11">
        <v>778</v>
      </c>
      <c r="AX11">
        <v>40</v>
      </c>
      <c r="AY11">
        <v>614</v>
      </c>
      <c r="AZ11">
        <v>20</v>
      </c>
      <c r="BA11">
        <v>102</v>
      </c>
      <c r="BB11">
        <v>5</v>
      </c>
    </row>
    <row r="12" spans="1:54" x14ac:dyDescent="0.25">
      <c r="A12">
        <v>158</v>
      </c>
      <c r="B12" t="s">
        <v>692</v>
      </c>
      <c r="C12">
        <v>44.59</v>
      </c>
      <c r="D12">
        <v>0.54</v>
      </c>
      <c r="E12">
        <v>0.94</v>
      </c>
      <c r="F12">
        <v>0.03</v>
      </c>
      <c r="G12">
        <v>8.76</v>
      </c>
      <c r="H12">
        <v>0.19</v>
      </c>
      <c r="I12">
        <v>0.43</v>
      </c>
      <c r="J12">
        <v>0.01</v>
      </c>
      <c r="K12">
        <v>20.37</v>
      </c>
      <c r="L12">
        <v>0.26</v>
      </c>
      <c r="M12">
        <v>0.21</v>
      </c>
      <c r="N12">
        <v>0.02</v>
      </c>
      <c r="O12">
        <v>8.83</v>
      </c>
      <c r="P12">
        <v>0.25</v>
      </c>
      <c r="Q12">
        <v>5.35</v>
      </c>
      <c r="R12">
        <v>0.06</v>
      </c>
      <c r="S12">
        <v>2.64</v>
      </c>
      <c r="T12">
        <v>0.14000000000000001</v>
      </c>
      <c r="U12">
        <v>0.61</v>
      </c>
      <c r="V12">
        <v>0.02</v>
      </c>
      <c r="W12">
        <v>1.1200000000000001</v>
      </c>
      <c r="X12">
        <v>7.0000000000000007E-2</v>
      </c>
      <c r="Y12">
        <v>4</v>
      </c>
      <c r="Z12">
        <v>0.05</v>
      </c>
      <c r="AA12">
        <v>1.93</v>
      </c>
      <c r="AB12">
        <v>0.03</v>
      </c>
      <c r="AG12" s="16"/>
      <c r="AH12" s="16"/>
      <c r="AI12" s="16"/>
      <c r="AJ12" s="16"/>
      <c r="AW12">
        <v>668</v>
      </c>
      <c r="AX12">
        <v>35</v>
      </c>
      <c r="AY12">
        <v>756</v>
      </c>
      <c r="AZ12">
        <v>24</v>
      </c>
      <c r="BA12">
        <v>197</v>
      </c>
      <c r="BB12">
        <v>10</v>
      </c>
    </row>
    <row r="13" spans="1:54" x14ac:dyDescent="0.25">
      <c r="A13">
        <v>161</v>
      </c>
      <c r="B13" t="s">
        <v>693</v>
      </c>
      <c r="C13">
        <v>43.85</v>
      </c>
      <c r="D13">
        <v>0.54</v>
      </c>
      <c r="E13">
        <v>1.01</v>
      </c>
      <c r="F13">
        <v>0.03</v>
      </c>
      <c r="G13">
        <v>9.94</v>
      </c>
      <c r="H13">
        <v>0.28999999999999998</v>
      </c>
      <c r="I13">
        <v>0.31</v>
      </c>
      <c r="J13">
        <v>0.01</v>
      </c>
      <c r="K13">
        <v>17.16</v>
      </c>
      <c r="L13">
        <v>0.2</v>
      </c>
      <c r="M13">
        <v>0.36</v>
      </c>
      <c r="N13">
        <v>0.02</v>
      </c>
      <c r="O13">
        <v>7.71</v>
      </c>
      <c r="P13">
        <v>0.17</v>
      </c>
      <c r="Q13">
        <v>6.94</v>
      </c>
      <c r="R13">
        <v>7.0000000000000007E-2</v>
      </c>
      <c r="S13">
        <v>2.95</v>
      </c>
      <c r="T13">
        <v>0.14000000000000001</v>
      </c>
      <c r="U13">
        <v>0.64</v>
      </c>
      <c r="V13">
        <v>0.02</v>
      </c>
      <c r="W13">
        <v>0.97</v>
      </c>
      <c r="X13">
        <v>7.0000000000000007E-2</v>
      </c>
      <c r="Y13">
        <v>7.02</v>
      </c>
      <c r="Z13">
        <v>0.1</v>
      </c>
      <c r="AA13">
        <v>1.01</v>
      </c>
      <c r="AB13">
        <v>0.02</v>
      </c>
      <c r="AG13" s="16"/>
      <c r="AH13" s="16"/>
      <c r="AI13" s="16"/>
      <c r="AJ13" s="16"/>
      <c r="AW13">
        <v>384</v>
      </c>
      <c r="AX13">
        <v>20</v>
      </c>
      <c r="AY13">
        <v>489</v>
      </c>
      <c r="AZ13">
        <v>15</v>
      </c>
      <c r="BA13">
        <v>83</v>
      </c>
      <c r="BB13">
        <v>5</v>
      </c>
    </row>
    <row r="14" spans="1:54" x14ac:dyDescent="0.25">
      <c r="A14">
        <v>165</v>
      </c>
      <c r="B14" t="s">
        <v>694</v>
      </c>
      <c r="C14">
        <v>38.380000000000003</v>
      </c>
      <c r="D14">
        <v>0.43</v>
      </c>
      <c r="E14">
        <v>0.83</v>
      </c>
      <c r="F14">
        <v>0.03</v>
      </c>
      <c r="G14">
        <v>7.45</v>
      </c>
      <c r="H14">
        <v>0.19</v>
      </c>
      <c r="I14">
        <v>0.39</v>
      </c>
      <c r="J14">
        <v>0.01</v>
      </c>
      <c r="K14">
        <v>17.670000000000002</v>
      </c>
      <c r="L14">
        <v>0.2</v>
      </c>
      <c r="M14">
        <v>0.26</v>
      </c>
      <c r="N14">
        <v>0.02</v>
      </c>
      <c r="O14">
        <v>8.01</v>
      </c>
      <c r="P14">
        <v>0.17</v>
      </c>
      <c r="Q14">
        <v>9.5399999999999991</v>
      </c>
      <c r="R14">
        <v>0.1</v>
      </c>
      <c r="S14">
        <v>2.33</v>
      </c>
      <c r="T14">
        <v>0.14000000000000001</v>
      </c>
      <c r="U14">
        <v>0.35</v>
      </c>
      <c r="V14">
        <v>0.01</v>
      </c>
      <c r="W14">
        <v>0.88</v>
      </c>
      <c r="X14">
        <v>0.05</v>
      </c>
      <c r="Y14">
        <v>12.49</v>
      </c>
      <c r="Z14">
        <v>0.15</v>
      </c>
      <c r="AA14">
        <v>1.26</v>
      </c>
      <c r="AB14">
        <v>0.02</v>
      </c>
      <c r="AG14" s="16"/>
      <c r="AH14" s="16"/>
      <c r="AI14" s="16"/>
      <c r="AJ14" s="16"/>
      <c r="AW14">
        <v>617</v>
      </c>
      <c r="AX14">
        <v>35</v>
      </c>
      <c r="AY14">
        <v>595</v>
      </c>
      <c r="AZ14">
        <v>20</v>
      </c>
      <c r="BA14">
        <v>155</v>
      </c>
      <c r="BB14">
        <v>5</v>
      </c>
    </row>
    <row r="15" spans="1:54" x14ac:dyDescent="0.25">
      <c r="A15">
        <v>168</v>
      </c>
      <c r="B15" t="s">
        <v>695</v>
      </c>
      <c r="C15">
        <v>43.31</v>
      </c>
      <c r="D15">
        <v>0.54</v>
      </c>
      <c r="E15">
        <v>0.95</v>
      </c>
      <c r="F15">
        <v>0.03</v>
      </c>
      <c r="G15">
        <v>8.41</v>
      </c>
      <c r="H15">
        <v>0.19</v>
      </c>
      <c r="I15">
        <v>0.42</v>
      </c>
      <c r="J15">
        <v>0.01</v>
      </c>
      <c r="K15">
        <v>20.59</v>
      </c>
      <c r="L15">
        <v>0.26</v>
      </c>
      <c r="M15">
        <v>0.28999999999999998</v>
      </c>
      <c r="N15">
        <v>0.02</v>
      </c>
      <c r="O15">
        <v>8.61</v>
      </c>
      <c r="P15">
        <v>0.25</v>
      </c>
      <c r="Q15">
        <v>6.04</v>
      </c>
      <c r="R15">
        <v>7.0000000000000007E-2</v>
      </c>
      <c r="S15">
        <v>2.66</v>
      </c>
      <c r="T15">
        <v>0.14000000000000001</v>
      </c>
      <c r="U15">
        <v>0.56000000000000005</v>
      </c>
      <c r="V15">
        <v>0.02</v>
      </c>
      <c r="W15">
        <v>1.02</v>
      </c>
      <c r="X15">
        <v>7.0000000000000007E-2</v>
      </c>
      <c r="Y15">
        <v>5.65</v>
      </c>
      <c r="Z15">
        <v>0.08</v>
      </c>
      <c r="AA15">
        <v>1.24</v>
      </c>
      <c r="AB15">
        <v>0.02</v>
      </c>
      <c r="AG15" s="16"/>
      <c r="AH15" s="16"/>
      <c r="AI15" s="16"/>
      <c r="AJ15" s="16"/>
      <c r="AW15">
        <v>715</v>
      </c>
      <c r="AX15">
        <v>40</v>
      </c>
      <c r="AY15">
        <v>791</v>
      </c>
      <c r="AZ15">
        <v>24</v>
      </c>
      <c r="BA15">
        <v>384</v>
      </c>
      <c r="BB15">
        <v>15</v>
      </c>
    </row>
    <row r="16" spans="1:54" x14ac:dyDescent="0.25">
      <c r="A16">
        <v>169</v>
      </c>
      <c r="B16" t="s">
        <v>696</v>
      </c>
      <c r="C16">
        <v>46.88</v>
      </c>
      <c r="D16">
        <v>0.54</v>
      </c>
      <c r="E16">
        <v>0.91</v>
      </c>
      <c r="F16">
        <v>0.03</v>
      </c>
      <c r="G16">
        <v>8.8800000000000008</v>
      </c>
      <c r="H16">
        <v>0.19</v>
      </c>
      <c r="I16">
        <v>0.41</v>
      </c>
      <c r="J16">
        <v>0.01</v>
      </c>
      <c r="K16">
        <v>20.5</v>
      </c>
      <c r="L16">
        <v>0.26</v>
      </c>
      <c r="M16">
        <v>0.28999999999999998</v>
      </c>
      <c r="N16">
        <v>0.02</v>
      </c>
      <c r="O16">
        <v>9.8000000000000007</v>
      </c>
      <c r="P16">
        <v>0.25</v>
      </c>
      <c r="Q16">
        <v>5.4</v>
      </c>
      <c r="R16">
        <v>0.06</v>
      </c>
      <c r="S16">
        <v>3.04</v>
      </c>
      <c r="T16">
        <v>0.14000000000000001</v>
      </c>
      <c r="U16">
        <v>0.62</v>
      </c>
      <c r="V16">
        <v>0.02</v>
      </c>
      <c r="W16">
        <v>1.02</v>
      </c>
      <c r="X16">
        <v>7.0000000000000007E-2</v>
      </c>
      <c r="Y16">
        <v>0.89</v>
      </c>
      <c r="Z16">
        <v>0.03</v>
      </c>
      <c r="AA16">
        <v>1.1299999999999999</v>
      </c>
      <c r="AB16">
        <v>0.02</v>
      </c>
      <c r="AG16" s="16"/>
      <c r="AH16" s="16"/>
      <c r="AI16" s="16"/>
      <c r="AJ16" s="16"/>
      <c r="AW16">
        <v>693</v>
      </c>
      <c r="AX16">
        <v>35</v>
      </c>
      <c r="AY16">
        <v>794</v>
      </c>
      <c r="AZ16">
        <v>24</v>
      </c>
      <c r="BA16">
        <v>401</v>
      </c>
      <c r="BB16">
        <v>15</v>
      </c>
    </row>
    <row r="17" spans="1:54" x14ac:dyDescent="0.25">
      <c r="A17">
        <v>173</v>
      </c>
      <c r="B17" t="s">
        <v>697</v>
      </c>
      <c r="C17">
        <v>47.57</v>
      </c>
      <c r="D17">
        <v>0.54</v>
      </c>
      <c r="E17">
        <v>0.91</v>
      </c>
      <c r="F17">
        <v>0.03</v>
      </c>
      <c r="G17">
        <v>8.9</v>
      </c>
      <c r="H17">
        <v>0.19</v>
      </c>
      <c r="I17">
        <v>0.42</v>
      </c>
      <c r="J17">
        <v>0.01</v>
      </c>
      <c r="K17">
        <v>19.690000000000001</v>
      </c>
      <c r="L17">
        <v>0.26</v>
      </c>
      <c r="M17">
        <v>0.27</v>
      </c>
      <c r="N17">
        <v>0.02</v>
      </c>
      <c r="O17">
        <v>9.76</v>
      </c>
      <c r="P17">
        <v>0.25</v>
      </c>
      <c r="Q17">
        <v>5.32</v>
      </c>
      <c r="R17">
        <v>0.06</v>
      </c>
      <c r="S17">
        <v>2.98</v>
      </c>
      <c r="T17">
        <v>0.14000000000000001</v>
      </c>
      <c r="U17">
        <v>0.69</v>
      </c>
      <c r="V17">
        <v>0.02</v>
      </c>
      <c r="W17">
        <v>1.02</v>
      </c>
      <c r="X17">
        <v>7.0000000000000007E-2</v>
      </c>
      <c r="Y17">
        <v>1.04</v>
      </c>
      <c r="Z17">
        <v>0.03</v>
      </c>
      <c r="AA17">
        <v>1.2</v>
      </c>
      <c r="AB17">
        <v>0.02</v>
      </c>
      <c r="AG17" s="16"/>
      <c r="AH17" s="16"/>
      <c r="AI17" s="16"/>
      <c r="AJ17" s="16"/>
      <c r="AW17">
        <v>649</v>
      </c>
      <c r="AX17">
        <v>35</v>
      </c>
      <c r="AY17">
        <v>763</v>
      </c>
      <c r="AZ17">
        <v>24</v>
      </c>
      <c r="BA17">
        <v>351</v>
      </c>
      <c r="BB17">
        <v>15</v>
      </c>
    </row>
    <row r="18" spans="1:54" x14ac:dyDescent="0.25">
      <c r="A18">
        <v>181</v>
      </c>
      <c r="B18" t="s">
        <v>698</v>
      </c>
      <c r="C18">
        <v>43.69</v>
      </c>
      <c r="D18">
        <v>0.54</v>
      </c>
      <c r="E18">
        <v>0.96</v>
      </c>
      <c r="F18">
        <v>0.03</v>
      </c>
      <c r="G18">
        <v>8.7100000000000009</v>
      </c>
      <c r="H18">
        <v>0.19</v>
      </c>
      <c r="I18">
        <v>0.42</v>
      </c>
      <c r="J18">
        <v>0.01</v>
      </c>
      <c r="K18">
        <v>20.58</v>
      </c>
      <c r="L18">
        <v>0.26</v>
      </c>
      <c r="M18">
        <v>0.3</v>
      </c>
      <c r="N18">
        <v>0.02</v>
      </c>
      <c r="O18">
        <v>9.89</v>
      </c>
      <c r="P18">
        <v>0.25</v>
      </c>
      <c r="Q18">
        <v>6.18</v>
      </c>
      <c r="R18">
        <v>7.0000000000000007E-2</v>
      </c>
      <c r="S18">
        <v>2.98</v>
      </c>
      <c r="T18">
        <v>0.14000000000000001</v>
      </c>
      <c r="U18">
        <v>0.59</v>
      </c>
      <c r="V18">
        <v>0.02</v>
      </c>
      <c r="W18">
        <v>0.95</v>
      </c>
      <c r="X18">
        <v>7.0000000000000007E-2</v>
      </c>
      <c r="Y18">
        <v>3.53</v>
      </c>
      <c r="Z18">
        <v>0.08</v>
      </c>
      <c r="AA18">
        <v>0.91</v>
      </c>
      <c r="AB18">
        <v>0.02</v>
      </c>
      <c r="AG18" s="16"/>
      <c r="AH18" s="16"/>
      <c r="AI18" s="16"/>
      <c r="AJ18" s="16"/>
      <c r="AW18">
        <v>700</v>
      </c>
      <c r="AX18">
        <v>40</v>
      </c>
      <c r="AY18">
        <v>806</v>
      </c>
      <c r="AZ18">
        <v>24</v>
      </c>
      <c r="BA18">
        <v>384</v>
      </c>
      <c r="BB18">
        <v>15</v>
      </c>
    </row>
    <row r="19" spans="1:54" x14ac:dyDescent="0.25">
      <c r="A19">
        <v>230</v>
      </c>
      <c r="B19" t="s">
        <v>699</v>
      </c>
      <c r="C19">
        <v>41.06</v>
      </c>
      <c r="D19">
        <v>0.43</v>
      </c>
      <c r="E19">
        <v>1.05</v>
      </c>
      <c r="F19">
        <v>0.03</v>
      </c>
      <c r="G19">
        <v>8.51</v>
      </c>
      <c r="H19">
        <v>0.19</v>
      </c>
      <c r="I19">
        <v>0.47</v>
      </c>
      <c r="J19">
        <v>0.01</v>
      </c>
      <c r="K19">
        <v>20.68</v>
      </c>
      <c r="L19">
        <v>0.26</v>
      </c>
      <c r="M19">
        <v>0.33</v>
      </c>
      <c r="N19">
        <v>0.02</v>
      </c>
      <c r="O19">
        <v>8.9700000000000006</v>
      </c>
      <c r="P19">
        <v>0.25</v>
      </c>
      <c r="Q19">
        <v>7.87</v>
      </c>
      <c r="R19">
        <v>0.08</v>
      </c>
      <c r="S19">
        <v>2.93</v>
      </c>
      <c r="T19">
        <v>0.14000000000000001</v>
      </c>
      <c r="U19">
        <v>0.55000000000000004</v>
      </c>
      <c r="V19">
        <v>0.02</v>
      </c>
      <c r="W19">
        <v>0.92</v>
      </c>
      <c r="X19">
        <v>7.0000000000000007E-2</v>
      </c>
      <c r="Y19">
        <v>5.91</v>
      </c>
      <c r="Z19">
        <v>0.08</v>
      </c>
      <c r="AA19">
        <v>0.52</v>
      </c>
      <c r="AB19">
        <v>0.02</v>
      </c>
      <c r="AG19" s="16"/>
      <c r="AH19" s="16"/>
      <c r="AI19" s="16"/>
      <c r="AJ19" s="16"/>
      <c r="AW19">
        <v>711</v>
      </c>
      <c r="AX19">
        <v>40</v>
      </c>
      <c r="AY19">
        <v>807</v>
      </c>
      <c r="AZ19">
        <v>24</v>
      </c>
      <c r="BA19">
        <v>31</v>
      </c>
      <c r="BB19">
        <v>5</v>
      </c>
    </row>
    <row r="20" spans="1:54" x14ac:dyDescent="0.25">
      <c r="A20">
        <v>291</v>
      </c>
      <c r="B20" t="s">
        <v>700</v>
      </c>
      <c r="C20">
        <v>46.81</v>
      </c>
      <c r="D20">
        <v>0.54</v>
      </c>
      <c r="E20">
        <v>0.91</v>
      </c>
      <c r="F20">
        <v>0.03</v>
      </c>
      <c r="G20">
        <v>9.34</v>
      </c>
      <c r="H20">
        <v>0.19</v>
      </c>
      <c r="I20">
        <v>0.42</v>
      </c>
      <c r="J20">
        <v>0.01</v>
      </c>
      <c r="K20">
        <v>19.82</v>
      </c>
      <c r="L20">
        <v>0.26</v>
      </c>
      <c r="M20">
        <v>0.28000000000000003</v>
      </c>
      <c r="N20">
        <v>0.02</v>
      </c>
      <c r="O20">
        <v>9.15</v>
      </c>
      <c r="P20">
        <v>0.25</v>
      </c>
      <c r="Q20">
        <v>5.44</v>
      </c>
      <c r="R20">
        <v>0.06</v>
      </c>
      <c r="S20">
        <v>3.14</v>
      </c>
      <c r="T20">
        <v>0.14000000000000001</v>
      </c>
      <c r="U20">
        <v>0.66</v>
      </c>
      <c r="V20">
        <v>0.02</v>
      </c>
      <c r="W20">
        <v>0.92</v>
      </c>
      <c r="X20">
        <v>7.0000000000000007E-2</v>
      </c>
      <c r="Y20">
        <v>1.57</v>
      </c>
      <c r="Z20">
        <v>0.05</v>
      </c>
      <c r="AA20">
        <v>1.33</v>
      </c>
      <c r="AB20">
        <v>0.02</v>
      </c>
      <c r="AG20" s="16"/>
      <c r="AH20" s="16"/>
      <c r="AI20" s="16"/>
      <c r="AJ20" s="16"/>
      <c r="AW20">
        <v>697</v>
      </c>
      <c r="AX20">
        <v>35</v>
      </c>
      <c r="AY20">
        <v>776</v>
      </c>
      <c r="AZ20">
        <v>24</v>
      </c>
      <c r="BA20">
        <v>121</v>
      </c>
      <c r="BB20">
        <v>5</v>
      </c>
    </row>
    <row r="21" spans="1:54" x14ac:dyDescent="0.25">
      <c r="A21">
        <v>304</v>
      </c>
      <c r="B21" t="s">
        <v>701</v>
      </c>
      <c r="C21">
        <v>49.01</v>
      </c>
      <c r="D21">
        <v>0.54</v>
      </c>
      <c r="E21">
        <v>0.77</v>
      </c>
      <c r="F21">
        <v>0.03</v>
      </c>
      <c r="G21">
        <v>11.63</v>
      </c>
      <c r="H21">
        <v>0.28999999999999998</v>
      </c>
      <c r="I21">
        <v>0.38</v>
      </c>
      <c r="J21">
        <v>0.01</v>
      </c>
      <c r="K21">
        <v>14.71</v>
      </c>
      <c r="L21">
        <v>0.2</v>
      </c>
      <c r="M21">
        <v>0.31</v>
      </c>
      <c r="N21">
        <v>0.02</v>
      </c>
      <c r="O21">
        <v>6.31</v>
      </c>
      <c r="P21">
        <v>0.17</v>
      </c>
      <c r="Q21">
        <v>6.22</v>
      </c>
      <c r="R21">
        <v>7.0000000000000007E-2</v>
      </c>
      <c r="S21">
        <v>4.3899999999999997</v>
      </c>
      <c r="T21">
        <v>0.14000000000000001</v>
      </c>
      <c r="U21">
        <v>1.65</v>
      </c>
      <c r="V21">
        <v>0.06</v>
      </c>
      <c r="W21">
        <v>0.89</v>
      </c>
      <c r="X21">
        <v>0.05</v>
      </c>
      <c r="Y21">
        <v>2.67</v>
      </c>
      <c r="Z21">
        <v>0.05</v>
      </c>
      <c r="AA21">
        <v>0.92</v>
      </c>
      <c r="AB21">
        <v>0.02</v>
      </c>
      <c r="AG21" s="16"/>
      <c r="AH21" s="16"/>
      <c r="AI21" s="16"/>
      <c r="AJ21" s="16"/>
      <c r="AW21">
        <v>212</v>
      </c>
      <c r="AX21">
        <v>15</v>
      </c>
      <c r="AY21">
        <v>480</v>
      </c>
      <c r="AZ21">
        <v>15</v>
      </c>
      <c r="BA21">
        <v>103</v>
      </c>
      <c r="BB21">
        <v>5</v>
      </c>
    </row>
    <row r="22" spans="1:54" x14ac:dyDescent="0.25">
      <c r="A22">
        <v>322</v>
      </c>
      <c r="B22" t="s">
        <v>702</v>
      </c>
      <c r="C22">
        <v>42.16</v>
      </c>
      <c r="D22">
        <v>0.43</v>
      </c>
      <c r="E22">
        <v>0.75</v>
      </c>
      <c r="F22">
        <v>0.03</v>
      </c>
      <c r="G22">
        <v>8.44</v>
      </c>
      <c r="H22">
        <v>0.19</v>
      </c>
      <c r="I22">
        <v>0.76</v>
      </c>
      <c r="J22">
        <v>0.01</v>
      </c>
      <c r="K22">
        <v>20.58</v>
      </c>
      <c r="L22">
        <v>0.26</v>
      </c>
      <c r="M22">
        <v>0.38</v>
      </c>
      <c r="N22">
        <v>0.02</v>
      </c>
      <c r="O22">
        <v>8.6999999999999993</v>
      </c>
      <c r="P22">
        <v>0.25</v>
      </c>
      <c r="Q22">
        <v>7.03</v>
      </c>
      <c r="R22">
        <v>0.08</v>
      </c>
      <c r="S22">
        <v>2.86</v>
      </c>
      <c r="T22">
        <v>0.14000000000000001</v>
      </c>
      <c r="U22">
        <v>0.46</v>
      </c>
      <c r="V22">
        <v>0.02</v>
      </c>
      <c r="W22">
        <v>0.74</v>
      </c>
      <c r="X22">
        <v>0.05</v>
      </c>
      <c r="Y22">
        <v>5.82</v>
      </c>
      <c r="Z22">
        <v>0.08</v>
      </c>
      <c r="AA22">
        <v>1.1200000000000001</v>
      </c>
      <c r="AB22">
        <v>0.02</v>
      </c>
      <c r="AG22" s="16"/>
      <c r="AH22" s="16"/>
      <c r="AI22" s="16"/>
      <c r="AJ22" s="16"/>
      <c r="AW22">
        <v>234</v>
      </c>
      <c r="AX22">
        <v>15</v>
      </c>
      <c r="AY22">
        <v>983</v>
      </c>
      <c r="AZ22">
        <v>30</v>
      </c>
      <c r="BA22">
        <v>408</v>
      </c>
      <c r="BB22">
        <v>15</v>
      </c>
    </row>
    <row r="23" spans="1:54" x14ac:dyDescent="0.25">
      <c r="A23">
        <v>323</v>
      </c>
      <c r="B23" t="s">
        <v>703</v>
      </c>
      <c r="C23">
        <v>42.03</v>
      </c>
      <c r="D23">
        <v>0.43</v>
      </c>
      <c r="E23">
        <v>0.85</v>
      </c>
      <c r="F23">
        <v>0.03</v>
      </c>
      <c r="G23">
        <v>8.75</v>
      </c>
      <c r="H23">
        <v>0.19</v>
      </c>
      <c r="I23">
        <v>0.65</v>
      </c>
      <c r="J23">
        <v>0.01</v>
      </c>
      <c r="K23">
        <v>20.63</v>
      </c>
      <c r="L23">
        <v>0.26</v>
      </c>
      <c r="M23">
        <v>0.36</v>
      </c>
      <c r="N23">
        <v>0.02</v>
      </c>
      <c r="O23">
        <v>8.26</v>
      </c>
      <c r="P23">
        <v>0.17</v>
      </c>
      <c r="Q23">
        <v>6.54</v>
      </c>
      <c r="R23">
        <v>7.0000000000000007E-2</v>
      </c>
      <c r="S23">
        <v>2.98</v>
      </c>
      <c r="T23">
        <v>0.14000000000000001</v>
      </c>
      <c r="U23">
        <v>0.78</v>
      </c>
      <c r="V23">
        <v>0.02</v>
      </c>
      <c r="W23">
        <v>0.8</v>
      </c>
      <c r="X23">
        <v>0.05</v>
      </c>
      <c r="Y23">
        <v>6.05</v>
      </c>
      <c r="Z23">
        <v>0.08</v>
      </c>
      <c r="AA23">
        <v>1.1499999999999999</v>
      </c>
      <c r="AB23">
        <v>0.02</v>
      </c>
      <c r="AG23" s="16"/>
      <c r="AH23" s="16"/>
      <c r="AI23" s="16"/>
      <c r="AJ23" s="16"/>
      <c r="AW23">
        <v>275</v>
      </c>
      <c r="AX23">
        <v>15</v>
      </c>
      <c r="AY23">
        <v>962</v>
      </c>
      <c r="AZ23">
        <v>30</v>
      </c>
      <c r="BA23">
        <v>166</v>
      </c>
      <c r="BB23">
        <v>10</v>
      </c>
    </row>
    <row r="24" spans="1:54" x14ac:dyDescent="0.25">
      <c r="A24">
        <v>360</v>
      </c>
      <c r="B24" t="s">
        <v>704</v>
      </c>
      <c r="C24">
        <v>49.41</v>
      </c>
      <c r="D24">
        <v>0.54</v>
      </c>
      <c r="E24">
        <v>0.76</v>
      </c>
      <c r="F24">
        <v>0.03</v>
      </c>
      <c r="G24">
        <v>13.76</v>
      </c>
      <c r="H24">
        <v>0.28999999999999998</v>
      </c>
      <c r="I24">
        <v>0.06</v>
      </c>
      <c r="J24">
        <v>0.01</v>
      </c>
      <c r="K24">
        <v>11.96</v>
      </c>
      <c r="L24">
        <v>0.13</v>
      </c>
      <c r="M24">
        <v>0.27</v>
      </c>
      <c r="N24">
        <v>0.02</v>
      </c>
      <c r="O24">
        <v>4.66</v>
      </c>
      <c r="P24">
        <v>0.17</v>
      </c>
      <c r="Q24">
        <v>7.23</v>
      </c>
      <c r="R24">
        <v>0.08</v>
      </c>
      <c r="S24">
        <v>4.84</v>
      </c>
      <c r="T24">
        <v>0.2</v>
      </c>
      <c r="U24">
        <v>1.67</v>
      </c>
      <c r="V24">
        <v>0.06</v>
      </c>
      <c r="W24">
        <v>0.73</v>
      </c>
      <c r="X24">
        <v>0.05</v>
      </c>
      <c r="Y24">
        <v>3.9</v>
      </c>
      <c r="Z24">
        <v>0.08</v>
      </c>
      <c r="AA24">
        <v>0.65</v>
      </c>
      <c r="AB24">
        <v>0.02</v>
      </c>
      <c r="AG24" s="16"/>
      <c r="AH24" s="16"/>
      <c r="AI24" s="16"/>
      <c r="AJ24" s="16"/>
      <c r="AW24">
        <v>68</v>
      </c>
      <c r="AX24">
        <v>10</v>
      </c>
      <c r="AY24">
        <v>299</v>
      </c>
      <c r="AZ24">
        <v>10</v>
      </c>
      <c r="BA24">
        <v>15</v>
      </c>
      <c r="BB24">
        <v>5</v>
      </c>
    </row>
    <row r="25" spans="1:54" x14ac:dyDescent="0.25">
      <c r="A25">
        <v>373</v>
      </c>
      <c r="B25" t="s">
        <v>705</v>
      </c>
      <c r="C25">
        <v>45.41</v>
      </c>
      <c r="D25">
        <v>0.54</v>
      </c>
      <c r="E25">
        <v>1.03</v>
      </c>
      <c r="F25">
        <v>0.03</v>
      </c>
      <c r="G25">
        <v>10.88</v>
      </c>
      <c r="H25">
        <v>0.28999999999999998</v>
      </c>
      <c r="I25">
        <v>0.25</v>
      </c>
      <c r="J25">
        <v>0.03</v>
      </c>
      <c r="K25">
        <v>14.62</v>
      </c>
      <c r="L25">
        <v>0.2</v>
      </c>
      <c r="M25">
        <v>0.31</v>
      </c>
      <c r="N25">
        <v>0.04</v>
      </c>
      <c r="O25">
        <v>7.27</v>
      </c>
      <c r="P25">
        <v>0.17</v>
      </c>
      <c r="Q25">
        <v>7.2</v>
      </c>
      <c r="R25">
        <v>0.08</v>
      </c>
      <c r="S25">
        <v>3.21</v>
      </c>
      <c r="T25">
        <v>0.14000000000000001</v>
      </c>
      <c r="U25">
        <v>0.84</v>
      </c>
      <c r="V25">
        <v>0.04</v>
      </c>
      <c r="W25">
        <v>0.96</v>
      </c>
      <c r="X25">
        <v>7.0000000000000007E-2</v>
      </c>
      <c r="Y25">
        <v>6.89</v>
      </c>
      <c r="Z25">
        <v>0.15</v>
      </c>
      <c r="AA25">
        <v>0.99</v>
      </c>
      <c r="AB25">
        <v>0.03</v>
      </c>
      <c r="AW25">
        <v>340</v>
      </c>
      <c r="AX25">
        <v>30</v>
      </c>
      <c r="AY25">
        <v>383</v>
      </c>
      <c r="AZ25">
        <v>20</v>
      </c>
      <c r="BA25">
        <v>48</v>
      </c>
      <c r="BB25">
        <v>10</v>
      </c>
    </row>
    <row r="26" spans="1:54" x14ac:dyDescent="0.25">
      <c r="A26">
        <v>387</v>
      </c>
      <c r="B26" t="s">
        <v>706</v>
      </c>
      <c r="C26">
        <v>53.09</v>
      </c>
      <c r="D26">
        <v>0.54</v>
      </c>
      <c r="E26">
        <v>1.35</v>
      </c>
      <c r="F26">
        <v>0.05</v>
      </c>
      <c r="G26">
        <v>11.61</v>
      </c>
      <c r="H26">
        <v>0.28999999999999998</v>
      </c>
      <c r="I26">
        <v>0.09</v>
      </c>
      <c r="J26">
        <v>0.01</v>
      </c>
      <c r="K26">
        <v>10.16</v>
      </c>
      <c r="L26">
        <v>0.13</v>
      </c>
      <c r="M26">
        <v>0.22</v>
      </c>
      <c r="N26">
        <v>0.02</v>
      </c>
      <c r="O26">
        <v>4.41</v>
      </c>
      <c r="P26">
        <v>0.17</v>
      </c>
      <c r="Q26">
        <v>7.19</v>
      </c>
      <c r="R26">
        <v>0.08</v>
      </c>
      <c r="S26">
        <v>4.12</v>
      </c>
      <c r="T26">
        <v>0.14000000000000001</v>
      </c>
      <c r="U26">
        <v>0.92</v>
      </c>
      <c r="V26">
        <v>0.04</v>
      </c>
      <c r="W26">
        <v>1.45</v>
      </c>
      <c r="X26">
        <v>0.09</v>
      </c>
      <c r="Y26">
        <v>4.46</v>
      </c>
      <c r="Z26">
        <v>0.05</v>
      </c>
      <c r="AA26">
        <v>0.85</v>
      </c>
      <c r="AB26">
        <v>0.02</v>
      </c>
      <c r="AW26">
        <v>35</v>
      </c>
      <c r="AX26">
        <v>5</v>
      </c>
      <c r="AY26">
        <v>83</v>
      </c>
      <c r="AZ26">
        <v>5</v>
      </c>
      <c r="BA26">
        <v>35</v>
      </c>
      <c r="BB26">
        <v>5</v>
      </c>
    </row>
    <row r="27" spans="1:54" x14ac:dyDescent="0.25">
      <c r="A27">
        <v>395</v>
      </c>
      <c r="B27" t="s">
        <v>707</v>
      </c>
      <c r="C27">
        <v>46.89</v>
      </c>
      <c r="D27">
        <v>0.54</v>
      </c>
      <c r="E27">
        <v>0.7</v>
      </c>
      <c r="F27">
        <v>0.03</v>
      </c>
      <c r="G27">
        <v>13.59</v>
      </c>
      <c r="H27">
        <v>0.28999999999999998</v>
      </c>
      <c r="I27">
        <v>0.03</v>
      </c>
      <c r="J27">
        <v>0.01</v>
      </c>
      <c r="K27">
        <v>16.82</v>
      </c>
      <c r="L27">
        <v>0.2</v>
      </c>
      <c r="M27">
        <v>0.13</v>
      </c>
      <c r="N27">
        <v>0.02</v>
      </c>
      <c r="O27">
        <v>3.67</v>
      </c>
      <c r="P27">
        <v>0.08</v>
      </c>
      <c r="Q27">
        <v>5.44</v>
      </c>
      <c r="R27">
        <v>0.06</v>
      </c>
      <c r="S27">
        <v>3.96</v>
      </c>
      <c r="T27">
        <v>0.14000000000000001</v>
      </c>
      <c r="U27">
        <v>0.56999999999999995</v>
      </c>
      <c r="V27">
        <v>0.02</v>
      </c>
      <c r="W27">
        <v>0.69</v>
      </c>
      <c r="X27">
        <v>0.05</v>
      </c>
      <c r="Y27">
        <v>5.68</v>
      </c>
      <c r="Z27">
        <v>0.08</v>
      </c>
      <c r="AA27">
        <v>1.75</v>
      </c>
      <c r="AB27">
        <v>0.02</v>
      </c>
      <c r="AW27">
        <v>66</v>
      </c>
      <c r="AX27">
        <v>10</v>
      </c>
      <c r="AY27">
        <v>205</v>
      </c>
      <c r="AZ27">
        <v>10</v>
      </c>
      <c r="BA27">
        <v>172</v>
      </c>
      <c r="BB27">
        <v>10</v>
      </c>
    </row>
    <row r="28" spans="1:54" x14ac:dyDescent="0.25">
      <c r="A28">
        <v>399</v>
      </c>
      <c r="B28" t="s">
        <v>708</v>
      </c>
      <c r="C28">
        <v>47.53</v>
      </c>
      <c r="D28">
        <v>0.54</v>
      </c>
      <c r="E28">
        <v>0.71</v>
      </c>
      <c r="F28">
        <v>0.03</v>
      </c>
      <c r="G28">
        <v>13.64</v>
      </c>
      <c r="H28">
        <v>0.28999999999999998</v>
      </c>
      <c r="I28">
        <v>0.09</v>
      </c>
      <c r="J28">
        <v>0.01</v>
      </c>
      <c r="K28">
        <v>11.93</v>
      </c>
      <c r="L28">
        <v>0.13</v>
      </c>
      <c r="M28">
        <v>0.17</v>
      </c>
      <c r="N28">
        <v>0.02</v>
      </c>
      <c r="O28">
        <v>5.64</v>
      </c>
      <c r="P28">
        <v>0.17</v>
      </c>
      <c r="Q28">
        <v>6.53</v>
      </c>
      <c r="R28">
        <v>7.0000000000000007E-2</v>
      </c>
      <c r="S28">
        <v>3.89</v>
      </c>
      <c r="T28">
        <v>0.14000000000000001</v>
      </c>
      <c r="U28">
        <v>0.85</v>
      </c>
      <c r="V28">
        <v>0.04</v>
      </c>
      <c r="W28">
        <v>0.88</v>
      </c>
      <c r="X28">
        <v>0.05</v>
      </c>
      <c r="Y28">
        <v>6.62</v>
      </c>
      <c r="Z28">
        <v>0.1</v>
      </c>
      <c r="AA28">
        <v>1.34</v>
      </c>
      <c r="AB28">
        <v>0.03</v>
      </c>
      <c r="AW28">
        <v>102</v>
      </c>
      <c r="AX28">
        <v>10</v>
      </c>
      <c r="AY28">
        <v>621</v>
      </c>
      <c r="AZ28">
        <v>20</v>
      </c>
      <c r="BA28">
        <v>114</v>
      </c>
      <c r="BB28">
        <v>5</v>
      </c>
    </row>
    <row r="29" spans="1:54" x14ac:dyDescent="0.25">
      <c r="A29">
        <v>400</v>
      </c>
      <c r="B29" t="s">
        <v>709</v>
      </c>
      <c r="C29">
        <v>44.99</v>
      </c>
      <c r="D29">
        <v>0.54</v>
      </c>
      <c r="E29">
        <v>0.87</v>
      </c>
      <c r="F29">
        <v>0.03</v>
      </c>
      <c r="G29">
        <v>10.95</v>
      </c>
      <c r="H29">
        <v>0.28999999999999998</v>
      </c>
      <c r="I29">
        <v>0.19</v>
      </c>
      <c r="J29">
        <v>0.01</v>
      </c>
      <c r="K29">
        <v>14.86</v>
      </c>
      <c r="L29">
        <v>0.2</v>
      </c>
      <c r="M29">
        <v>0.27</v>
      </c>
      <c r="N29">
        <v>0.02</v>
      </c>
      <c r="O29">
        <v>7.21</v>
      </c>
      <c r="P29">
        <v>0.17</v>
      </c>
      <c r="Q29">
        <v>7.07</v>
      </c>
      <c r="R29">
        <v>0.08</v>
      </c>
      <c r="S29">
        <v>3.15</v>
      </c>
      <c r="T29">
        <v>0.14000000000000001</v>
      </c>
      <c r="U29">
        <v>0.73</v>
      </c>
      <c r="V29">
        <v>0.02</v>
      </c>
      <c r="W29">
        <v>0.99</v>
      </c>
      <c r="X29">
        <v>7.0000000000000007E-2</v>
      </c>
      <c r="Y29">
        <v>7.35</v>
      </c>
      <c r="Z29">
        <v>0.08</v>
      </c>
      <c r="AA29">
        <v>1.18</v>
      </c>
      <c r="AB29">
        <v>0.02</v>
      </c>
      <c r="AW29">
        <v>214</v>
      </c>
      <c r="AX29">
        <v>15</v>
      </c>
      <c r="AY29">
        <v>688</v>
      </c>
      <c r="AZ29">
        <v>24</v>
      </c>
      <c r="BA29">
        <v>143</v>
      </c>
      <c r="BB29">
        <v>5</v>
      </c>
    </row>
    <row r="30" spans="1:54" x14ac:dyDescent="0.25">
      <c r="A30">
        <v>442</v>
      </c>
      <c r="B30" t="s">
        <v>710</v>
      </c>
      <c r="C30">
        <v>43.07</v>
      </c>
      <c r="D30">
        <v>0.54</v>
      </c>
      <c r="E30">
        <v>0.86</v>
      </c>
      <c r="F30">
        <v>0.03</v>
      </c>
      <c r="G30">
        <v>8.34</v>
      </c>
      <c r="H30">
        <v>0.19</v>
      </c>
      <c r="I30">
        <v>0.48</v>
      </c>
      <c r="J30">
        <v>0.01</v>
      </c>
      <c r="K30">
        <v>19.809999999999999</v>
      </c>
      <c r="L30">
        <v>0.26</v>
      </c>
      <c r="M30">
        <v>0.41</v>
      </c>
      <c r="N30">
        <v>0.02</v>
      </c>
      <c r="O30">
        <v>8.3699999999999992</v>
      </c>
      <c r="P30">
        <v>0.25</v>
      </c>
      <c r="Q30">
        <v>5.72</v>
      </c>
      <c r="R30">
        <v>7.0000000000000007E-2</v>
      </c>
      <c r="S30">
        <v>2.4500000000000002</v>
      </c>
      <c r="T30">
        <v>0.14000000000000001</v>
      </c>
      <c r="U30">
        <v>2.52</v>
      </c>
      <c r="V30">
        <v>0.08</v>
      </c>
      <c r="W30">
        <v>0.77</v>
      </c>
      <c r="X30">
        <v>0.05</v>
      </c>
      <c r="Y30">
        <v>5.74</v>
      </c>
      <c r="Z30">
        <v>0.08</v>
      </c>
      <c r="AA30">
        <v>1.24</v>
      </c>
      <c r="AB30">
        <v>0.02</v>
      </c>
      <c r="AW30">
        <v>282</v>
      </c>
      <c r="AX30">
        <v>15</v>
      </c>
      <c r="AY30">
        <v>1208</v>
      </c>
      <c r="AZ30">
        <v>40</v>
      </c>
      <c r="BA30">
        <v>109</v>
      </c>
      <c r="BB30">
        <v>5</v>
      </c>
    </row>
    <row r="31" spans="1:54" x14ac:dyDescent="0.25">
      <c r="A31">
        <v>487</v>
      </c>
      <c r="B31" t="s">
        <v>711</v>
      </c>
      <c r="C31">
        <v>41.13</v>
      </c>
      <c r="D31">
        <v>0.43</v>
      </c>
      <c r="E31">
        <v>0.99</v>
      </c>
      <c r="F31">
        <v>0.03</v>
      </c>
      <c r="G31">
        <v>8.6300000000000008</v>
      </c>
      <c r="H31">
        <v>0.19</v>
      </c>
      <c r="I31">
        <v>0.46</v>
      </c>
      <c r="J31">
        <v>0.03</v>
      </c>
      <c r="K31">
        <v>21.95</v>
      </c>
      <c r="L31">
        <v>0.26</v>
      </c>
      <c r="M31">
        <v>0.28999999999999998</v>
      </c>
      <c r="N31">
        <v>0.04</v>
      </c>
      <c r="O31">
        <v>9.32</v>
      </c>
      <c r="P31">
        <v>0.25</v>
      </c>
      <c r="Q31">
        <v>6.66</v>
      </c>
      <c r="R31">
        <v>7.0000000000000007E-2</v>
      </c>
      <c r="S31">
        <v>3.01</v>
      </c>
      <c r="T31">
        <v>0.14000000000000001</v>
      </c>
      <c r="U31">
        <v>0.62</v>
      </c>
      <c r="V31">
        <v>0.02</v>
      </c>
      <c r="W31">
        <v>0.86</v>
      </c>
      <c r="X31">
        <v>0.05</v>
      </c>
      <c r="Y31">
        <v>4.6100000000000003</v>
      </c>
      <c r="Z31">
        <v>0.1</v>
      </c>
      <c r="AA31">
        <v>1.19</v>
      </c>
      <c r="AB31">
        <v>0.04</v>
      </c>
      <c r="AG31" s="16"/>
      <c r="AH31" s="16"/>
      <c r="AI31" s="16"/>
      <c r="AJ31" s="16"/>
      <c r="AW31">
        <v>931</v>
      </c>
      <c r="AX31">
        <v>49</v>
      </c>
      <c r="AY31">
        <v>921</v>
      </c>
      <c r="AZ31">
        <v>30</v>
      </c>
      <c r="BA31">
        <v>65</v>
      </c>
      <c r="BB31">
        <v>10</v>
      </c>
    </row>
    <row r="32" spans="1:54" x14ac:dyDescent="0.25">
      <c r="A32">
        <v>503</v>
      </c>
      <c r="B32" t="s">
        <v>712</v>
      </c>
      <c r="C32">
        <v>49.93</v>
      </c>
      <c r="D32">
        <v>0.54</v>
      </c>
      <c r="E32">
        <v>0.72</v>
      </c>
      <c r="F32">
        <v>0.03</v>
      </c>
      <c r="G32">
        <v>15.37</v>
      </c>
      <c r="H32">
        <v>0.38</v>
      </c>
      <c r="I32">
        <v>0.05</v>
      </c>
      <c r="J32">
        <v>0.01</v>
      </c>
      <c r="K32">
        <v>10.27</v>
      </c>
      <c r="L32">
        <v>0.13</v>
      </c>
      <c r="M32">
        <v>0.26</v>
      </c>
      <c r="N32">
        <v>0.02</v>
      </c>
      <c r="O32">
        <v>3.41</v>
      </c>
      <c r="P32">
        <v>0.08</v>
      </c>
      <c r="Q32">
        <v>5.76</v>
      </c>
      <c r="R32">
        <v>7.0000000000000007E-2</v>
      </c>
      <c r="S32">
        <v>6.78</v>
      </c>
      <c r="T32">
        <v>0.27</v>
      </c>
      <c r="U32">
        <v>2.94</v>
      </c>
      <c r="V32">
        <v>0.1</v>
      </c>
      <c r="W32">
        <v>0.93</v>
      </c>
      <c r="X32">
        <v>7.0000000000000007E-2</v>
      </c>
      <c r="Y32">
        <v>2.3199999999999998</v>
      </c>
      <c r="Z32">
        <v>0.05</v>
      </c>
      <c r="AA32">
        <v>1.1100000000000001</v>
      </c>
      <c r="AB32">
        <v>0.02</v>
      </c>
      <c r="AG32" s="16"/>
      <c r="AH32" s="16"/>
      <c r="AI32" s="16"/>
      <c r="AJ32" s="16"/>
      <c r="AW32">
        <v>41</v>
      </c>
      <c r="AX32">
        <v>10</v>
      </c>
      <c r="AY32">
        <v>923</v>
      </c>
      <c r="AZ32">
        <v>30</v>
      </c>
      <c r="BA32">
        <v>82</v>
      </c>
      <c r="BB32">
        <v>5</v>
      </c>
    </row>
    <row r="33" spans="1:54" x14ac:dyDescent="0.25">
      <c r="A33">
        <v>510</v>
      </c>
      <c r="B33" t="s">
        <v>713</v>
      </c>
      <c r="C33">
        <v>49.34</v>
      </c>
      <c r="D33">
        <v>0.54</v>
      </c>
      <c r="E33">
        <v>1.19</v>
      </c>
      <c r="F33">
        <v>0.05</v>
      </c>
      <c r="G33">
        <v>15.18</v>
      </c>
      <c r="H33">
        <v>0.38</v>
      </c>
      <c r="I33">
        <v>0.04</v>
      </c>
      <c r="J33">
        <v>0.01</v>
      </c>
      <c r="K33">
        <v>12.19</v>
      </c>
      <c r="L33">
        <v>0.13</v>
      </c>
      <c r="M33">
        <v>0.28999999999999998</v>
      </c>
      <c r="N33">
        <v>0.02</v>
      </c>
      <c r="O33">
        <v>3.69</v>
      </c>
      <c r="P33">
        <v>0.08</v>
      </c>
      <c r="Q33">
        <v>6.15</v>
      </c>
      <c r="R33">
        <v>7.0000000000000007E-2</v>
      </c>
      <c r="S33">
        <v>5.01</v>
      </c>
      <c r="T33">
        <v>0.2</v>
      </c>
      <c r="U33">
        <v>1.89</v>
      </c>
      <c r="V33">
        <v>0.06</v>
      </c>
      <c r="W33">
        <v>0.78</v>
      </c>
      <c r="X33">
        <v>0.05</v>
      </c>
      <c r="Y33">
        <v>3.27</v>
      </c>
      <c r="Z33">
        <v>0.05</v>
      </c>
      <c r="AA33">
        <v>0.88</v>
      </c>
      <c r="AB33">
        <v>0.02</v>
      </c>
      <c r="AG33" s="16"/>
      <c r="AH33" s="16"/>
      <c r="AI33" s="16"/>
      <c r="AJ33" s="16"/>
      <c r="AW33">
        <v>131</v>
      </c>
      <c r="AX33">
        <v>10</v>
      </c>
      <c r="AY33">
        <v>253</v>
      </c>
      <c r="AZ33">
        <v>10</v>
      </c>
      <c r="BA33">
        <v>51</v>
      </c>
      <c r="BB33">
        <v>5</v>
      </c>
    </row>
    <row r="34" spans="1:54" x14ac:dyDescent="0.25">
      <c r="A34">
        <v>512</v>
      </c>
      <c r="B34" t="s">
        <v>714</v>
      </c>
      <c r="C34">
        <v>51.94</v>
      </c>
      <c r="D34">
        <v>0.54</v>
      </c>
      <c r="E34">
        <v>0.71</v>
      </c>
      <c r="F34">
        <v>0.03</v>
      </c>
      <c r="G34">
        <v>15.28</v>
      </c>
      <c r="H34">
        <v>0.38</v>
      </c>
      <c r="I34">
        <v>0.04</v>
      </c>
      <c r="J34">
        <v>0.01</v>
      </c>
      <c r="K34">
        <v>10.47</v>
      </c>
      <c r="L34">
        <v>0.13</v>
      </c>
      <c r="M34">
        <v>0.18</v>
      </c>
      <c r="N34">
        <v>0.02</v>
      </c>
      <c r="O34">
        <v>3.66</v>
      </c>
      <c r="P34">
        <v>0.08</v>
      </c>
      <c r="Q34">
        <v>5.46</v>
      </c>
      <c r="R34">
        <v>0.06</v>
      </c>
      <c r="S34">
        <v>4.8099999999999996</v>
      </c>
      <c r="T34">
        <v>0.2</v>
      </c>
      <c r="U34">
        <v>2.48</v>
      </c>
      <c r="V34">
        <v>0.08</v>
      </c>
      <c r="W34">
        <v>0.64</v>
      </c>
      <c r="X34">
        <v>0.05</v>
      </c>
      <c r="Y34">
        <v>3.56</v>
      </c>
      <c r="Z34">
        <v>0.05</v>
      </c>
      <c r="AA34">
        <v>0.66</v>
      </c>
      <c r="AB34">
        <v>0.01</v>
      </c>
      <c r="AG34" s="16"/>
      <c r="AH34" s="16"/>
      <c r="AI34" s="16"/>
      <c r="AJ34" s="16"/>
      <c r="AW34">
        <v>48</v>
      </c>
      <c r="AX34">
        <v>5</v>
      </c>
      <c r="AY34">
        <v>472</v>
      </c>
      <c r="AZ34">
        <v>15</v>
      </c>
      <c r="BA34">
        <v>10</v>
      </c>
      <c r="BB34">
        <v>5</v>
      </c>
    </row>
    <row r="35" spans="1:54" x14ac:dyDescent="0.25">
      <c r="A35">
        <v>516</v>
      </c>
      <c r="B35" t="s">
        <v>715</v>
      </c>
      <c r="C35">
        <v>56.78</v>
      </c>
      <c r="D35">
        <v>0.64</v>
      </c>
      <c r="E35">
        <v>0.99</v>
      </c>
      <c r="F35">
        <v>0.03</v>
      </c>
      <c r="G35">
        <v>9.4600000000000009</v>
      </c>
      <c r="H35">
        <v>0.28999999999999998</v>
      </c>
      <c r="I35">
        <v>0.03</v>
      </c>
      <c r="J35">
        <v>0.01</v>
      </c>
      <c r="K35">
        <v>13.65</v>
      </c>
      <c r="L35">
        <v>0.2</v>
      </c>
      <c r="M35">
        <v>0.21</v>
      </c>
      <c r="N35">
        <v>0.02</v>
      </c>
      <c r="O35">
        <v>2.91</v>
      </c>
      <c r="P35">
        <v>0.08</v>
      </c>
      <c r="Q35">
        <v>3.6</v>
      </c>
      <c r="R35">
        <v>0.04</v>
      </c>
      <c r="S35">
        <v>4.21</v>
      </c>
      <c r="T35">
        <v>0.14000000000000001</v>
      </c>
      <c r="U35">
        <v>3.04</v>
      </c>
      <c r="V35">
        <v>0.1</v>
      </c>
      <c r="W35">
        <v>0.62</v>
      </c>
      <c r="X35">
        <v>0.05</v>
      </c>
      <c r="Y35">
        <v>3.52</v>
      </c>
      <c r="Z35">
        <v>0.05</v>
      </c>
      <c r="AA35">
        <v>0.84</v>
      </c>
      <c r="AB35">
        <v>0.02</v>
      </c>
      <c r="AG35" s="16"/>
      <c r="AH35" s="16"/>
      <c r="AI35" s="16"/>
      <c r="AJ35" s="16"/>
      <c r="AW35">
        <v>73</v>
      </c>
      <c r="AX35">
        <v>10</v>
      </c>
      <c r="AY35">
        <v>219</v>
      </c>
      <c r="AZ35">
        <v>10</v>
      </c>
      <c r="BA35">
        <v>81</v>
      </c>
      <c r="BB35">
        <v>5</v>
      </c>
    </row>
    <row r="36" spans="1:54" x14ac:dyDescent="0.25">
      <c r="A36">
        <v>523</v>
      </c>
      <c r="B36" t="s">
        <v>716</v>
      </c>
      <c r="C36">
        <v>42.68</v>
      </c>
      <c r="D36">
        <v>0.43</v>
      </c>
      <c r="E36">
        <v>1.03</v>
      </c>
      <c r="F36">
        <v>0.03</v>
      </c>
      <c r="G36">
        <v>8.94</v>
      </c>
      <c r="H36">
        <v>0.19</v>
      </c>
      <c r="I36">
        <v>0.49</v>
      </c>
      <c r="J36">
        <v>0.01</v>
      </c>
      <c r="K36">
        <v>19.7</v>
      </c>
      <c r="L36">
        <v>0.26</v>
      </c>
      <c r="M36">
        <v>0.42</v>
      </c>
      <c r="N36">
        <v>0.02</v>
      </c>
      <c r="O36">
        <v>8.58</v>
      </c>
      <c r="P36">
        <v>0.25</v>
      </c>
      <c r="Q36">
        <v>7.09</v>
      </c>
      <c r="R36">
        <v>0.08</v>
      </c>
      <c r="S36">
        <v>2.66</v>
      </c>
      <c r="T36">
        <v>0.14000000000000001</v>
      </c>
      <c r="U36">
        <v>0.48</v>
      </c>
      <c r="V36">
        <v>0.02</v>
      </c>
      <c r="W36">
        <v>0.93</v>
      </c>
      <c r="X36">
        <v>7.0000000000000007E-2</v>
      </c>
      <c r="Y36">
        <v>6.04</v>
      </c>
      <c r="Z36">
        <v>0.08</v>
      </c>
      <c r="AA36">
        <v>0.8</v>
      </c>
      <c r="AB36">
        <v>0.02</v>
      </c>
      <c r="AG36" s="16"/>
      <c r="AH36" s="16"/>
      <c r="AI36" s="16"/>
      <c r="AJ36" s="16"/>
      <c r="AW36">
        <v>645</v>
      </c>
      <c r="AX36">
        <v>35</v>
      </c>
      <c r="AY36">
        <v>309</v>
      </c>
      <c r="AZ36">
        <v>10</v>
      </c>
      <c r="BA36">
        <v>41</v>
      </c>
      <c r="BB36">
        <v>5</v>
      </c>
    </row>
    <row r="37" spans="1:54" x14ac:dyDescent="0.25">
      <c r="A37">
        <v>531</v>
      </c>
      <c r="B37" t="s">
        <v>717</v>
      </c>
      <c r="C37">
        <v>43.66</v>
      </c>
      <c r="D37">
        <v>0.54</v>
      </c>
      <c r="E37">
        <v>1.07</v>
      </c>
      <c r="F37">
        <v>0.03</v>
      </c>
      <c r="G37">
        <v>9.1999999999999993</v>
      </c>
      <c r="H37">
        <v>0.19</v>
      </c>
      <c r="I37">
        <v>0.48</v>
      </c>
      <c r="J37">
        <v>0.01</v>
      </c>
      <c r="K37">
        <v>18.23</v>
      </c>
      <c r="L37">
        <v>0.2</v>
      </c>
      <c r="M37">
        <v>0.41</v>
      </c>
      <c r="N37">
        <v>0.02</v>
      </c>
      <c r="O37">
        <v>8.7200000000000006</v>
      </c>
      <c r="P37">
        <v>0.25</v>
      </c>
      <c r="Q37">
        <v>7.07</v>
      </c>
      <c r="R37">
        <v>0.08</v>
      </c>
      <c r="S37">
        <v>2.64</v>
      </c>
      <c r="T37">
        <v>0.14000000000000001</v>
      </c>
      <c r="U37">
        <v>0.47</v>
      </c>
      <c r="V37">
        <v>0.02</v>
      </c>
      <c r="W37">
        <v>0.95</v>
      </c>
      <c r="X37">
        <v>7.0000000000000007E-2</v>
      </c>
      <c r="Y37">
        <v>6.18</v>
      </c>
      <c r="Z37">
        <v>0.08</v>
      </c>
      <c r="AA37">
        <v>0.79</v>
      </c>
      <c r="AB37">
        <v>0.02</v>
      </c>
      <c r="AG37" s="16"/>
      <c r="AH37" s="16"/>
      <c r="AI37" s="16"/>
      <c r="AJ37" s="16"/>
      <c r="AW37">
        <v>452</v>
      </c>
      <c r="AX37">
        <v>24</v>
      </c>
      <c r="AY37">
        <v>308</v>
      </c>
      <c r="AZ37">
        <v>10</v>
      </c>
      <c r="BA37">
        <v>43</v>
      </c>
      <c r="BB37">
        <v>5</v>
      </c>
    </row>
    <row r="38" spans="1:54" x14ac:dyDescent="0.25">
      <c r="A38">
        <v>537</v>
      </c>
      <c r="B38" t="s">
        <v>718</v>
      </c>
      <c r="C38">
        <v>39.06</v>
      </c>
      <c r="D38">
        <v>0.43</v>
      </c>
      <c r="E38">
        <v>0.94</v>
      </c>
      <c r="F38">
        <v>0.03</v>
      </c>
      <c r="G38">
        <v>7.38</v>
      </c>
      <c r="H38">
        <v>0.19</v>
      </c>
      <c r="I38">
        <v>0.4</v>
      </c>
      <c r="J38">
        <v>0.01</v>
      </c>
      <c r="K38">
        <v>22.82</v>
      </c>
      <c r="L38">
        <v>0.26</v>
      </c>
      <c r="M38">
        <v>0.52</v>
      </c>
      <c r="N38">
        <v>0.02</v>
      </c>
      <c r="O38">
        <v>8.77</v>
      </c>
      <c r="P38">
        <v>0.25</v>
      </c>
      <c r="Q38">
        <v>5.52</v>
      </c>
      <c r="R38">
        <v>0.06</v>
      </c>
      <c r="S38">
        <v>2.34</v>
      </c>
      <c r="T38">
        <v>0.14000000000000001</v>
      </c>
      <c r="U38">
        <v>0.88</v>
      </c>
      <c r="V38">
        <v>0.04</v>
      </c>
      <c r="W38">
        <v>0.9</v>
      </c>
      <c r="X38">
        <v>0.05</v>
      </c>
      <c r="Y38">
        <v>8.43</v>
      </c>
      <c r="Z38">
        <v>0.1</v>
      </c>
      <c r="AA38">
        <v>1.74</v>
      </c>
      <c r="AB38">
        <v>0.03</v>
      </c>
      <c r="AG38" s="16"/>
      <c r="AH38" s="16"/>
      <c r="AI38" s="16"/>
      <c r="AJ38" s="16"/>
      <c r="AW38">
        <v>395</v>
      </c>
      <c r="AX38">
        <v>20</v>
      </c>
      <c r="AY38">
        <v>1067</v>
      </c>
      <c r="AZ38">
        <v>35</v>
      </c>
      <c r="BA38">
        <v>732</v>
      </c>
      <c r="BB38">
        <v>24</v>
      </c>
    </row>
    <row r="39" spans="1:54" x14ac:dyDescent="0.25">
      <c r="A39">
        <v>558</v>
      </c>
      <c r="B39" t="s">
        <v>719</v>
      </c>
      <c r="C39">
        <v>43.83</v>
      </c>
      <c r="D39">
        <v>0.54</v>
      </c>
      <c r="E39">
        <v>0.97</v>
      </c>
      <c r="F39">
        <v>0.03</v>
      </c>
      <c r="G39">
        <v>9.34</v>
      </c>
      <c r="H39">
        <v>0.19</v>
      </c>
      <c r="I39">
        <v>0.4</v>
      </c>
      <c r="J39">
        <v>0.01</v>
      </c>
      <c r="K39">
        <v>17.3</v>
      </c>
      <c r="L39">
        <v>0.2</v>
      </c>
      <c r="M39">
        <v>0.38</v>
      </c>
      <c r="N39">
        <v>0.02</v>
      </c>
      <c r="O39">
        <v>8.18</v>
      </c>
      <c r="P39">
        <v>0.17</v>
      </c>
      <c r="Q39">
        <v>7.12</v>
      </c>
      <c r="R39">
        <v>0.08</v>
      </c>
      <c r="S39">
        <v>2.83</v>
      </c>
      <c r="T39">
        <v>0.14000000000000001</v>
      </c>
      <c r="U39">
        <v>0.62</v>
      </c>
      <c r="V39">
        <v>0.02</v>
      </c>
      <c r="W39">
        <v>0.97</v>
      </c>
      <c r="X39">
        <v>7.0000000000000007E-2</v>
      </c>
      <c r="Y39">
        <v>6.97</v>
      </c>
      <c r="Z39">
        <v>0.08</v>
      </c>
      <c r="AA39">
        <v>0.95</v>
      </c>
      <c r="AB39">
        <v>0.02</v>
      </c>
      <c r="AG39" s="16"/>
      <c r="AH39" s="16"/>
      <c r="AI39" s="16"/>
      <c r="AJ39" s="16"/>
      <c r="AW39">
        <v>432</v>
      </c>
      <c r="AX39">
        <v>24</v>
      </c>
      <c r="AY39">
        <v>381</v>
      </c>
      <c r="AZ39">
        <v>15</v>
      </c>
      <c r="BA39">
        <v>74</v>
      </c>
      <c r="BB39">
        <v>5</v>
      </c>
    </row>
    <row r="40" spans="1:54" x14ac:dyDescent="0.25">
      <c r="A40">
        <v>583</v>
      </c>
      <c r="B40" t="s">
        <v>720</v>
      </c>
      <c r="C40">
        <v>41.26</v>
      </c>
      <c r="D40">
        <v>0.43</v>
      </c>
      <c r="E40">
        <v>0.85</v>
      </c>
      <c r="F40">
        <v>0.03</v>
      </c>
      <c r="G40">
        <v>7.83</v>
      </c>
      <c r="H40">
        <v>0.19</v>
      </c>
      <c r="I40">
        <v>0.72</v>
      </c>
      <c r="J40">
        <v>0.01</v>
      </c>
      <c r="K40">
        <v>23.14</v>
      </c>
      <c r="L40">
        <v>0.26</v>
      </c>
      <c r="M40">
        <v>0.44</v>
      </c>
      <c r="N40">
        <v>0.02</v>
      </c>
      <c r="O40">
        <v>9.33</v>
      </c>
      <c r="P40">
        <v>0.25</v>
      </c>
      <c r="Q40">
        <v>6.41</v>
      </c>
      <c r="R40">
        <v>7.0000000000000007E-2</v>
      </c>
      <c r="S40">
        <v>1.78</v>
      </c>
      <c r="T40">
        <v>7.0000000000000007E-2</v>
      </c>
      <c r="U40">
        <v>2.71</v>
      </c>
      <c r="V40">
        <v>0.08</v>
      </c>
      <c r="W40">
        <v>0.63</v>
      </c>
      <c r="X40">
        <v>0.05</v>
      </c>
      <c r="Y40">
        <v>3.7</v>
      </c>
      <c r="Z40">
        <v>0.05</v>
      </c>
      <c r="AA40">
        <v>0.92</v>
      </c>
      <c r="AB40">
        <v>0.02</v>
      </c>
      <c r="AG40" s="16"/>
      <c r="AH40" s="16"/>
      <c r="AI40" s="16"/>
      <c r="AJ40" s="16"/>
      <c r="AW40">
        <v>234</v>
      </c>
      <c r="AX40">
        <v>15</v>
      </c>
      <c r="AY40">
        <v>1905</v>
      </c>
      <c r="AZ40">
        <v>60</v>
      </c>
      <c r="BA40">
        <v>111</v>
      </c>
      <c r="BB40">
        <v>5</v>
      </c>
    </row>
    <row r="41" spans="1:54" x14ac:dyDescent="0.25">
      <c r="A41">
        <v>584</v>
      </c>
      <c r="B41" t="s">
        <v>721</v>
      </c>
      <c r="C41">
        <v>40.65</v>
      </c>
      <c r="D41">
        <v>0.43</v>
      </c>
      <c r="E41">
        <v>0.9</v>
      </c>
      <c r="F41">
        <v>0.03</v>
      </c>
      <c r="G41">
        <v>8.14</v>
      </c>
      <c r="H41">
        <v>0.19</v>
      </c>
      <c r="I41">
        <v>0.37</v>
      </c>
      <c r="J41">
        <v>0.01</v>
      </c>
      <c r="K41">
        <v>20.37</v>
      </c>
      <c r="L41">
        <v>0.26</v>
      </c>
      <c r="M41">
        <v>0.37</v>
      </c>
      <c r="N41">
        <v>0.02</v>
      </c>
      <c r="O41">
        <v>8.26</v>
      </c>
      <c r="P41">
        <v>0.17</v>
      </c>
      <c r="Q41">
        <v>5.85</v>
      </c>
      <c r="R41">
        <v>7.0000000000000007E-2</v>
      </c>
      <c r="S41">
        <v>2.39</v>
      </c>
      <c r="T41">
        <v>0.14000000000000001</v>
      </c>
      <c r="U41">
        <v>1.94</v>
      </c>
      <c r="V41">
        <v>0.06</v>
      </c>
      <c r="W41">
        <v>0.9</v>
      </c>
      <c r="X41">
        <v>0.05</v>
      </c>
      <c r="Y41">
        <v>8.36</v>
      </c>
      <c r="Z41">
        <v>0.1</v>
      </c>
      <c r="AA41">
        <v>1.1499999999999999</v>
      </c>
      <c r="AB41">
        <v>0.02</v>
      </c>
      <c r="AG41" s="16"/>
      <c r="AH41" s="16"/>
      <c r="AI41" s="16"/>
      <c r="AJ41" s="16"/>
      <c r="AW41">
        <v>423</v>
      </c>
      <c r="AX41">
        <v>24</v>
      </c>
      <c r="AY41">
        <v>1467</v>
      </c>
      <c r="AZ41">
        <v>44</v>
      </c>
      <c r="BA41">
        <v>807</v>
      </c>
      <c r="BB41">
        <v>24</v>
      </c>
    </row>
    <row r="42" spans="1:54" x14ac:dyDescent="0.25">
      <c r="A42">
        <v>585</v>
      </c>
      <c r="B42" t="s">
        <v>722</v>
      </c>
      <c r="C42">
        <v>39.869999999999997</v>
      </c>
      <c r="D42">
        <v>0.43</v>
      </c>
      <c r="E42">
        <v>0.91</v>
      </c>
      <c r="F42">
        <v>0.03</v>
      </c>
      <c r="G42">
        <v>7.9</v>
      </c>
      <c r="H42">
        <v>0.19</v>
      </c>
      <c r="I42">
        <v>0.62</v>
      </c>
      <c r="J42">
        <v>0.01</v>
      </c>
      <c r="K42">
        <v>22.43</v>
      </c>
      <c r="L42">
        <v>0.26</v>
      </c>
      <c r="M42">
        <v>0.42</v>
      </c>
      <c r="N42">
        <v>0.02</v>
      </c>
      <c r="O42">
        <v>8.3699999999999992</v>
      </c>
      <c r="P42">
        <v>0.25</v>
      </c>
      <c r="Q42">
        <v>6.37</v>
      </c>
      <c r="R42">
        <v>7.0000000000000007E-2</v>
      </c>
      <c r="S42">
        <v>2.42</v>
      </c>
      <c r="T42">
        <v>0.14000000000000001</v>
      </c>
      <c r="U42">
        <v>1.23</v>
      </c>
      <c r="V42">
        <v>0.05</v>
      </c>
      <c r="W42">
        <v>0.9</v>
      </c>
      <c r="X42">
        <v>0.05</v>
      </c>
      <c r="Y42">
        <v>7.17</v>
      </c>
      <c r="Z42">
        <v>0.08</v>
      </c>
      <c r="AA42">
        <v>1.1100000000000001</v>
      </c>
      <c r="AB42">
        <v>0.02</v>
      </c>
      <c r="AG42" s="16"/>
      <c r="AH42" s="16"/>
      <c r="AI42" s="16"/>
      <c r="AJ42" s="16"/>
      <c r="AW42">
        <v>339</v>
      </c>
      <c r="AX42">
        <v>20</v>
      </c>
      <c r="AY42">
        <v>1342</v>
      </c>
      <c r="AZ42">
        <v>44</v>
      </c>
      <c r="BA42">
        <v>619</v>
      </c>
      <c r="BB42">
        <v>20</v>
      </c>
    </row>
    <row r="43" spans="1:54" x14ac:dyDescent="0.25">
      <c r="A43">
        <v>601</v>
      </c>
      <c r="B43" t="s">
        <v>723</v>
      </c>
      <c r="C43">
        <v>43.13</v>
      </c>
      <c r="D43">
        <v>0.54</v>
      </c>
      <c r="E43">
        <v>0.96</v>
      </c>
      <c r="F43">
        <v>0.03</v>
      </c>
      <c r="G43">
        <v>7.95</v>
      </c>
      <c r="H43">
        <v>0.19</v>
      </c>
      <c r="I43">
        <v>0.55000000000000004</v>
      </c>
      <c r="J43">
        <v>0.01</v>
      </c>
      <c r="K43">
        <v>16.61</v>
      </c>
      <c r="L43">
        <v>0.2</v>
      </c>
      <c r="M43">
        <v>0.2</v>
      </c>
      <c r="N43">
        <v>0.02</v>
      </c>
      <c r="O43">
        <v>10.6</v>
      </c>
      <c r="P43">
        <v>0.25</v>
      </c>
      <c r="Q43">
        <v>5.5</v>
      </c>
      <c r="R43">
        <v>0.06</v>
      </c>
      <c r="S43">
        <v>1.95</v>
      </c>
      <c r="T43">
        <v>7.0000000000000007E-2</v>
      </c>
      <c r="U43">
        <v>2.38</v>
      </c>
      <c r="V43">
        <v>7.0000000000000007E-2</v>
      </c>
      <c r="W43">
        <v>0.71</v>
      </c>
      <c r="X43">
        <v>0.05</v>
      </c>
      <c r="Y43">
        <v>7.28</v>
      </c>
      <c r="Z43">
        <v>0.08</v>
      </c>
      <c r="AA43">
        <v>1.86</v>
      </c>
      <c r="AB43">
        <v>0.02</v>
      </c>
      <c r="AG43" s="16"/>
      <c r="AH43" s="16"/>
      <c r="AI43" s="16"/>
      <c r="AJ43" s="16"/>
      <c r="AW43">
        <v>315</v>
      </c>
      <c r="AX43">
        <v>20</v>
      </c>
      <c r="AY43">
        <v>936</v>
      </c>
      <c r="AZ43">
        <v>30</v>
      </c>
      <c r="BA43">
        <v>568</v>
      </c>
      <c r="BB43">
        <v>20</v>
      </c>
    </row>
    <row r="44" spans="1:54" x14ac:dyDescent="0.25">
      <c r="A44">
        <v>605</v>
      </c>
      <c r="B44" t="s">
        <v>724</v>
      </c>
      <c r="C44">
        <v>42.29</v>
      </c>
      <c r="D44">
        <v>0.43</v>
      </c>
      <c r="E44">
        <v>1.05</v>
      </c>
      <c r="F44">
        <v>0.03</v>
      </c>
      <c r="G44">
        <v>8.76</v>
      </c>
      <c r="H44">
        <v>0.19</v>
      </c>
      <c r="I44">
        <v>0.52</v>
      </c>
      <c r="J44">
        <v>0.01</v>
      </c>
      <c r="K44">
        <v>20.399999999999999</v>
      </c>
      <c r="L44">
        <v>0.26</v>
      </c>
      <c r="M44">
        <v>0.44</v>
      </c>
      <c r="N44">
        <v>0.02</v>
      </c>
      <c r="O44">
        <v>8.82</v>
      </c>
      <c r="P44">
        <v>0.25</v>
      </c>
      <c r="Q44">
        <v>6.99</v>
      </c>
      <c r="R44">
        <v>7.0000000000000007E-2</v>
      </c>
      <c r="S44">
        <v>2.68</v>
      </c>
      <c r="T44">
        <v>0.14000000000000001</v>
      </c>
      <c r="U44">
        <v>0.45</v>
      </c>
      <c r="V44">
        <v>0.02</v>
      </c>
      <c r="W44">
        <v>0.89</v>
      </c>
      <c r="X44">
        <v>0.05</v>
      </c>
      <c r="Y44">
        <v>5.82</v>
      </c>
      <c r="Z44">
        <v>0.08</v>
      </c>
      <c r="AA44">
        <v>0.76</v>
      </c>
      <c r="AB44">
        <v>0.02</v>
      </c>
      <c r="AW44">
        <v>557</v>
      </c>
      <c r="AX44">
        <v>30</v>
      </c>
      <c r="AY44">
        <v>283</v>
      </c>
      <c r="AZ44">
        <v>10</v>
      </c>
      <c r="BA44">
        <v>23</v>
      </c>
      <c r="BB44">
        <v>5</v>
      </c>
    </row>
    <row r="45" spans="1:54" x14ac:dyDescent="0.25">
      <c r="A45">
        <v>612</v>
      </c>
      <c r="B45" t="s">
        <v>725</v>
      </c>
      <c r="C45">
        <v>40.47</v>
      </c>
      <c r="D45">
        <v>0.43</v>
      </c>
      <c r="E45">
        <v>1.03</v>
      </c>
      <c r="F45">
        <v>0.03</v>
      </c>
      <c r="G45">
        <v>5.62</v>
      </c>
      <c r="H45">
        <v>0.19</v>
      </c>
      <c r="I45">
        <v>0.42</v>
      </c>
      <c r="J45">
        <v>0.01</v>
      </c>
      <c r="K45">
        <v>24.51</v>
      </c>
      <c r="L45">
        <v>0.26</v>
      </c>
      <c r="M45">
        <v>0.69</v>
      </c>
      <c r="N45">
        <v>0.02</v>
      </c>
      <c r="O45">
        <v>10.87</v>
      </c>
      <c r="P45">
        <v>0.25</v>
      </c>
      <c r="Q45">
        <v>5.01</v>
      </c>
      <c r="R45">
        <v>0.06</v>
      </c>
      <c r="S45">
        <v>1.21</v>
      </c>
      <c r="T45">
        <v>7.0000000000000007E-2</v>
      </c>
      <c r="U45">
        <v>3.01</v>
      </c>
      <c r="V45">
        <v>0.1</v>
      </c>
      <c r="W45">
        <v>0.81</v>
      </c>
      <c r="X45">
        <v>0.05</v>
      </c>
      <c r="Y45">
        <v>3.95</v>
      </c>
      <c r="Z45">
        <v>0.05</v>
      </c>
      <c r="AA45">
        <v>1.65</v>
      </c>
      <c r="AB45">
        <v>0.03</v>
      </c>
      <c r="AW45">
        <v>384</v>
      </c>
      <c r="AX45">
        <v>20</v>
      </c>
      <c r="AY45">
        <v>3980</v>
      </c>
      <c r="AZ45">
        <v>120</v>
      </c>
      <c r="BA45">
        <v>1978</v>
      </c>
      <c r="BB45">
        <v>60</v>
      </c>
    </row>
    <row r="46" spans="1:54" x14ac:dyDescent="0.25">
      <c r="A46">
        <v>622</v>
      </c>
      <c r="B46" t="s">
        <v>726</v>
      </c>
      <c r="C46">
        <v>39.299999999999997</v>
      </c>
      <c r="D46">
        <v>0.43</v>
      </c>
      <c r="E46">
        <v>1.1499999999999999</v>
      </c>
      <c r="F46">
        <v>0.05</v>
      </c>
      <c r="G46">
        <v>5.69</v>
      </c>
      <c r="H46">
        <v>0.19</v>
      </c>
      <c r="I46">
        <v>0.44</v>
      </c>
      <c r="J46">
        <v>0.01</v>
      </c>
      <c r="K46">
        <v>26.5</v>
      </c>
      <c r="L46">
        <v>0.33</v>
      </c>
      <c r="M46">
        <v>0.57999999999999996</v>
      </c>
      <c r="N46">
        <v>0.02</v>
      </c>
      <c r="O46">
        <v>12.67</v>
      </c>
      <c r="P46">
        <v>0.33</v>
      </c>
      <c r="Q46">
        <v>4.91</v>
      </c>
      <c r="R46">
        <v>0.06</v>
      </c>
      <c r="S46">
        <v>0.4</v>
      </c>
      <c r="T46">
        <v>7.0000000000000007E-2</v>
      </c>
      <c r="U46">
        <v>3.65</v>
      </c>
      <c r="V46">
        <v>0.12</v>
      </c>
      <c r="W46">
        <v>0.73</v>
      </c>
      <c r="X46">
        <v>0.05</v>
      </c>
      <c r="Y46">
        <v>2.58</v>
      </c>
      <c r="Z46">
        <v>0.05</v>
      </c>
      <c r="AA46">
        <v>0.8</v>
      </c>
      <c r="AB46">
        <v>0.02</v>
      </c>
      <c r="AW46">
        <v>383</v>
      </c>
      <c r="AX46">
        <v>20</v>
      </c>
      <c r="AY46">
        <v>4347</v>
      </c>
      <c r="AZ46">
        <v>135</v>
      </c>
      <c r="BA46">
        <v>348</v>
      </c>
      <c r="BB46">
        <v>15</v>
      </c>
    </row>
    <row r="47" spans="1:54" x14ac:dyDescent="0.25">
      <c r="A47">
        <v>627</v>
      </c>
      <c r="B47" t="s">
        <v>727</v>
      </c>
      <c r="C47">
        <v>33.380000000000003</v>
      </c>
      <c r="D47">
        <v>0.43</v>
      </c>
      <c r="E47">
        <v>0.91</v>
      </c>
      <c r="F47">
        <v>0.03</v>
      </c>
      <c r="G47">
        <v>4.05</v>
      </c>
      <c r="H47">
        <v>0.1</v>
      </c>
      <c r="I47">
        <v>0.34</v>
      </c>
      <c r="J47">
        <v>0.01</v>
      </c>
      <c r="K47">
        <v>21.58</v>
      </c>
      <c r="L47">
        <v>0.26</v>
      </c>
      <c r="M47">
        <v>4.05</v>
      </c>
      <c r="N47">
        <v>0.06</v>
      </c>
      <c r="O47">
        <v>18.3</v>
      </c>
      <c r="P47">
        <v>0.42</v>
      </c>
      <c r="Q47">
        <v>4.25</v>
      </c>
      <c r="R47">
        <v>0.06</v>
      </c>
      <c r="S47">
        <v>1.01</v>
      </c>
      <c r="T47">
        <v>7.0000000000000007E-2</v>
      </c>
      <c r="U47">
        <v>2.4900000000000002</v>
      </c>
      <c r="V47">
        <v>0.08</v>
      </c>
      <c r="W47">
        <v>0.7</v>
      </c>
      <c r="X47">
        <v>0.05</v>
      </c>
      <c r="Y47">
        <v>4.3499999999999996</v>
      </c>
      <c r="Z47">
        <v>0.05</v>
      </c>
      <c r="AA47">
        <v>3.36</v>
      </c>
      <c r="AB47">
        <v>0.04</v>
      </c>
      <c r="AW47">
        <v>1101</v>
      </c>
      <c r="AX47">
        <v>60</v>
      </c>
      <c r="AY47">
        <v>8155</v>
      </c>
      <c r="AZ47">
        <v>244</v>
      </c>
      <c r="BA47">
        <v>1888</v>
      </c>
      <c r="BB47">
        <v>60</v>
      </c>
    </row>
    <row r="48" spans="1:54" x14ac:dyDescent="0.25">
      <c r="A48">
        <v>633</v>
      </c>
      <c r="B48" t="s">
        <v>728</v>
      </c>
      <c r="C48">
        <v>42.91</v>
      </c>
      <c r="D48">
        <v>0.54</v>
      </c>
      <c r="E48">
        <v>0.91</v>
      </c>
      <c r="F48">
        <v>0.03</v>
      </c>
      <c r="G48">
        <v>8.6999999999999993</v>
      </c>
      <c r="H48">
        <v>0.19</v>
      </c>
      <c r="I48">
        <v>0.51</v>
      </c>
      <c r="J48">
        <v>0.01</v>
      </c>
      <c r="K48">
        <v>20.43</v>
      </c>
      <c r="L48">
        <v>0.26</v>
      </c>
      <c r="M48">
        <v>0.22</v>
      </c>
      <c r="N48">
        <v>0.02</v>
      </c>
      <c r="O48">
        <v>9.44</v>
      </c>
      <c r="P48">
        <v>0.25</v>
      </c>
      <c r="Q48">
        <v>5.85</v>
      </c>
      <c r="R48">
        <v>7.0000000000000007E-2</v>
      </c>
      <c r="S48">
        <v>2.14</v>
      </c>
      <c r="T48">
        <v>7.0000000000000007E-2</v>
      </c>
      <c r="U48">
        <v>2.4300000000000002</v>
      </c>
      <c r="V48">
        <v>0.08</v>
      </c>
      <c r="W48">
        <v>0.73</v>
      </c>
      <c r="X48">
        <v>0.05</v>
      </c>
      <c r="Y48">
        <v>4.04</v>
      </c>
      <c r="Z48">
        <v>0.05</v>
      </c>
      <c r="AA48">
        <v>1.54</v>
      </c>
      <c r="AB48">
        <v>0.02</v>
      </c>
      <c r="AW48">
        <v>197</v>
      </c>
      <c r="AX48">
        <v>10</v>
      </c>
      <c r="AY48">
        <v>785</v>
      </c>
      <c r="AZ48">
        <v>24</v>
      </c>
      <c r="BA48">
        <v>96</v>
      </c>
      <c r="BB48">
        <v>5</v>
      </c>
    </row>
    <row r="49" spans="1:54" x14ac:dyDescent="0.25">
      <c r="A49">
        <v>673</v>
      </c>
      <c r="B49" t="s">
        <v>729</v>
      </c>
      <c r="C49">
        <v>43.05</v>
      </c>
      <c r="D49">
        <v>0.54</v>
      </c>
      <c r="E49">
        <v>1.1000000000000001</v>
      </c>
      <c r="F49">
        <v>0.03</v>
      </c>
      <c r="G49">
        <v>9.41</v>
      </c>
      <c r="H49">
        <v>0.19</v>
      </c>
      <c r="I49">
        <v>0.5</v>
      </c>
      <c r="J49">
        <v>0.01</v>
      </c>
      <c r="K49">
        <v>20.09</v>
      </c>
      <c r="L49">
        <v>0.26</v>
      </c>
      <c r="M49">
        <v>0.44</v>
      </c>
      <c r="N49">
        <v>0.02</v>
      </c>
      <c r="O49">
        <v>8.27</v>
      </c>
      <c r="P49">
        <v>0.17</v>
      </c>
      <c r="Q49">
        <v>7.17</v>
      </c>
      <c r="R49">
        <v>0.08</v>
      </c>
      <c r="S49">
        <v>2.78</v>
      </c>
      <c r="T49">
        <v>0.14000000000000001</v>
      </c>
      <c r="U49">
        <v>0.45</v>
      </c>
      <c r="V49">
        <v>0.02</v>
      </c>
      <c r="W49">
        <v>0.85</v>
      </c>
      <c r="X49">
        <v>0.05</v>
      </c>
      <c r="Y49">
        <v>5.12</v>
      </c>
      <c r="Z49">
        <v>0.08</v>
      </c>
      <c r="AA49">
        <v>0.64</v>
      </c>
      <c r="AB49">
        <v>0.01</v>
      </c>
      <c r="AW49">
        <v>516</v>
      </c>
      <c r="AX49">
        <v>30</v>
      </c>
      <c r="AY49">
        <v>355</v>
      </c>
      <c r="AZ49">
        <v>15</v>
      </c>
      <c r="BA49">
        <v>26</v>
      </c>
      <c r="BB49">
        <v>5</v>
      </c>
    </row>
    <row r="50" spans="1:54" x14ac:dyDescent="0.25">
      <c r="A50">
        <v>687</v>
      </c>
      <c r="B50" t="s">
        <v>730</v>
      </c>
      <c r="C50">
        <v>46.93</v>
      </c>
      <c r="D50">
        <v>0.54</v>
      </c>
      <c r="E50">
        <v>0.42</v>
      </c>
      <c r="F50">
        <v>0.03</v>
      </c>
      <c r="G50">
        <v>13.36</v>
      </c>
      <c r="H50">
        <v>0.28999999999999998</v>
      </c>
      <c r="I50">
        <v>0.08</v>
      </c>
      <c r="J50">
        <v>0.01</v>
      </c>
      <c r="K50">
        <v>9.1199999999999992</v>
      </c>
      <c r="L50">
        <v>0.13</v>
      </c>
      <c r="M50">
        <v>0.2</v>
      </c>
      <c r="N50">
        <v>0.02</v>
      </c>
      <c r="O50">
        <v>5.05</v>
      </c>
      <c r="P50">
        <v>0.17</v>
      </c>
      <c r="Q50">
        <v>9.84</v>
      </c>
      <c r="R50">
        <v>0.11</v>
      </c>
      <c r="S50">
        <v>3.71</v>
      </c>
      <c r="T50">
        <v>0.14000000000000001</v>
      </c>
      <c r="U50">
        <v>0.61</v>
      </c>
      <c r="V50">
        <v>0.02</v>
      </c>
      <c r="W50">
        <v>3.2</v>
      </c>
      <c r="X50">
        <v>0.16</v>
      </c>
      <c r="Y50">
        <v>5.93</v>
      </c>
      <c r="Z50">
        <v>0.1</v>
      </c>
      <c r="AA50">
        <v>1.41</v>
      </c>
      <c r="AB50">
        <v>0.03</v>
      </c>
      <c r="AW50">
        <v>68</v>
      </c>
      <c r="AX50">
        <v>15</v>
      </c>
      <c r="AY50">
        <v>388</v>
      </c>
      <c r="AZ50">
        <v>15</v>
      </c>
      <c r="BA50">
        <v>52</v>
      </c>
      <c r="BB50">
        <v>5</v>
      </c>
    </row>
    <row r="51" spans="1:54" x14ac:dyDescent="0.25">
      <c r="A51">
        <v>694</v>
      </c>
      <c r="B51" t="s">
        <v>731</v>
      </c>
      <c r="C51">
        <v>43.39</v>
      </c>
      <c r="D51">
        <v>0.54</v>
      </c>
      <c r="E51">
        <v>0.8</v>
      </c>
      <c r="F51">
        <v>0.03</v>
      </c>
      <c r="G51">
        <v>9.32</v>
      </c>
      <c r="H51">
        <v>0.19</v>
      </c>
      <c r="I51">
        <v>0.73</v>
      </c>
      <c r="J51">
        <v>0.01</v>
      </c>
      <c r="K51">
        <v>19.93</v>
      </c>
      <c r="L51">
        <v>0.26</v>
      </c>
      <c r="M51">
        <v>0.45</v>
      </c>
      <c r="N51">
        <v>0.02</v>
      </c>
      <c r="O51">
        <v>8.19</v>
      </c>
      <c r="P51">
        <v>0.17</v>
      </c>
      <c r="Q51">
        <v>6.92</v>
      </c>
      <c r="R51">
        <v>7.0000000000000007E-2</v>
      </c>
      <c r="S51">
        <v>3.3</v>
      </c>
      <c r="T51">
        <v>0.14000000000000001</v>
      </c>
      <c r="U51">
        <v>0.84</v>
      </c>
      <c r="V51">
        <v>0.04</v>
      </c>
      <c r="W51">
        <v>0.73</v>
      </c>
      <c r="X51">
        <v>0.05</v>
      </c>
      <c r="Y51">
        <v>4.57</v>
      </c>
      <c r="Z51">
        <v>0.08</v>
      </c>
      <c r="AA51">
        <v>0.72</v>
      </c>
      <c r="AB51">
        <v>0.02</v>
      </c>
      <c r="AW51">
        <v>280</v>
      </c>
      <c r="AX51">
        <v>15</v>
      </c>
      <c r="AY51">
        <v>406</v>
      </c>
      <c r="AZ51">
        <v>15</v>
      </c>
      <c r="BA51">
        <v>38</v>
      </c>
      <c r="BB51">
        <v>5</v>
      </c>
    </row>
    <row r="52" spans="1:54" x14ac:dyDescent="0.25">
      <c r="A52">
        <v>704</v>
      </c>
      <c r="B52" t="s">
        <v>732</v>
      </c>
      <c r="C52">
        <v>37.380000000000003</v>
      </c>
      <c r="D52">
        <v>0.43</v>
      </c>
      <c r="E52">
        <v>1.07</v>
      </c>
      <c r="F52">
        <v>0.03</v>
      </c>
      <c r="G52">
        <v>5.62</v>
      </c>
      <c r="H52">
        <v>0.19</v>
      </c>
      <c r="I52">
        <v>0.49</v>
      </c>
      <c r="J52">
        <v>0.01</v>
      </c>
      <c r="K52">
        <v>27.9</v>
      </c>
      <c r="L52">
        <v>0.33</v>
      </c>
      <c r="M52">
        <v>0.55000000000000004</v>
      </c>
      <c r="N52">
        <v>0.02</v>
      </c>
      <c r="O52">
        <v>12.29</v>
      </c>
      <c r="P52">
        <v>0.25</v>
      </c>
      <c r="Q52">
        <v>5.26</v>
      </c>
      <c r="R52">
        <v>0.06</v>
      </c>
      <c r="S52">
        <v>0.96</v>
      </c>
      <c r="T52">
        <v>7.0000000000000007E-2</v>
      </c>
      <c r="U52">
        <v>3.09</v>
      </c>
      <c r="V52">
        <v>0.1</v>
      </c>
      <c r="W52">
        <v>0.64</v>
      </c>
      <c r="X52">
        <v>0.05</v>
      </c>
      <c r="Y52">
        <v>3.57</v>
      </c>
      <c r="Z52">
        <v>0.05</v>
      </c>
      <c r="AA52">
        <v>0.56999999999999995</v>
      </c>
      <c r="AB52">
        <v>0.01</v>
      </c>
      <c r="AW52">
        <v>516</v>
      </c>
      <c r="AX52">
        <v>30</v>
      </c>
      <c r="AY52">
        <v>4774</v>
      </c>
      <c r="AZ52">
        <v>144</v>
      </c>
      <c r="BA52">
        <v>122</v>
      </c>
      <c r="BB52">
        <v>5</v>
      </c>
    </row>
    <row r="53" spans="1:54" x14ac:dyDescent="0.25">
      <c r="A53">
        <v>707</v>
      </c>
      <c r="B53" t="s">
        <v>733</v>
      </c>
      <c r="C53">
        <v>46.83</v>
      </c>
      <c r="D53">
        <v>0.54</v>
      </c>
      <c r="E53">
        <v>0.76</v>
      </c>
      <c r="F53">
        <v>0.03</v>
      </c>
      <c r="G53">
        <v>11.37</v>
      </c>
      <c r="H53">
        <v>0.28999999999999998</v>
      </c>
      <c r="I53">
        <v>0.3</v>
      </c>
      <c r="J53">
        <v>0.01</v>
      </c>
      <c r="K53">
        <v>16.38</v>
      </c>
      <c r="L53">
        <v>0.2</v>
      </c>
      <c r="M53">
        <v>0.3</v>
      </c>
      <c r="N53">
        <v>0.02</v>
      </c>
      <c r="O53">
        <v>6.96</v>
      </c>
      <c r="P53">
        <v>0.17</v>
      </c>
      <c r="Q53">
        <v>5.99</v>
      </c>
      <c r="R53">
        <v>7.0000000000000007E-2</v>
      </c>
      <c r="S53">
        <v>4.72</v>
      </c>
      <c r="T53">
        <v>0.2</v>
      </c>
      <c r="U53">
        <v>1.94</v>
      </c>
      <c r="V53">
        <v>0.06</v>
      </c>
      <c r="W53">
        <v>0.76</v>
      </c>
      <c r="X53">
        <v>0.05</v>
      </c>
      <c r="Y53">
        <v>2.81</v>
      </c>
      <c r="Z53">
        <v>0.05</v>
      </c>
      <c r="AA53">
        <v>0.75</v>
      </c>
      <c r="AB53">
        <v>0.02</v>
      </c>
      <c r="AW53">
        <v>397</v>
      </c>
      <c r="AX53">
        <v>20</v>
      </c>
      <c r="AY53">
        <v>549</v>
      </c>
      <c r="AZ53">
        <v>20</v>
      </c>
      <c r="BA53">
        <v>78</v>
      </c>
      <c r="BB53">
        <v>5</v>
      </c>
    </row>
    <row r="54" spans="1:54" x14ac:dyDescent="0.25">
      <c r="A54">
        <v>722</v>
      </c>
      <c r="B54" t="s">
        <v>734</v>
      </c>
      <c r="C54">
        <v>59.76</v>
      </c>
      <c r="D54">
        <v>0.64</v>
      </c>
      <c r="E54">
        <v>1.1599999999999999</v>
      </c>
      <c r="F54">
        <v>0.05</v>
      </c>
      <c r="G54">
        <v>7.81</v>
      </c>
      <c r="H54">
        <v>0.19</v>
      </c>
      <c r="I54">
        <v>0.32</v>
      </c>
      <c r="J54">
        <v>0.01</v>
      </c>
      <c r="K54">
        <v>13.63</v>
      </c>
      <c r="L54">
        <v>0.2</v>
      </c>
      <c r="M54">
        <v>0.18</v>
      </c>
      <c r="N54">
        <v>0.02</v>
      </c>
      <c r="O54">
        <v>2.73</v>
      </c>
      <c r="P54">
        <v>0.08</v>
      </c>
      <c r="Q54">
        <v>4.54</v>
      </c>
      <c r="R54">
        <v>0.06</v>
      </c>
      <c r="S54">
        <v>2.68</v>
      </c>
      <c r="T54">
        <v>0.14000000000000001</v>
      </c>
      <c r="U54">
        <v>0.52</v>
      </c>
      <c r="V54">
        <v>0.02</v>
      </c>
      <c r="W54">
        <v>2.1</v>
      </c>
      <c r="X54">
        <v>0.12</v>
      </c>
      <c r="Y54">
        <v>3.88</v>
      </c>
      <c r="Z54">
        <v>0.05</v>
      </c>
      <c r="AA54">
        <v>0.56000000000000005</v>
      </c>
      <c r="AB54">
        <v>0.02</v>
      </c>
      <c r="AW54">
        <v>299</v>
      </c>
      <c r="AX54">
        <v>15</v>
      </c>
      <c r="AY54">
        <v>711</v>
      </c>
      <c r="AZ54">
        <v>24</v>
      </c>
      <c r="BA54">
        <v>81</v>
      </c>
      <c r="BB54">
        <v>5</v>
      </c>
    </row>
    <row r="55" spans="1:54" x14ac:dyDescent="0.25">
      <c r="A55">
        <v>742</v>
      </c>
      <c r="B55" t="s">
        <v>735</v>
      </c>
      <c r="C55">
        <v>41.35</v>
      </c>
      <c r="D55">
        <v>0.43</v>
      </c>
      <c r="E55">
        <v>0.96</v>
      </c>
      <c r="F55">
        <v>0.03</v>
      </c>
      <c r="G55">
        <v>8.41</v>
      </c>
      <c r="H55">
        <v>0.19</v>
      </c>
      <c r="I55">
        <v>0.38</v>
      </c>
      <c r="J55">
        <v>0.01</v>
      </c>
      <c r="K55">
        <v>20.7</v>
      </c>
      <c r="L55">
        <v>0.26</v>
      </c>
      <c r="M55">
        <v>0.41</v>
      </c>
      <c r="N55">
        <v>0.02</v>
      </c>
      <c r="O55">
        <v>8.42</v>
      </c>
      <c r="P55">
        <v>0.25</v>
      </c>
      <c r="Q55">
        <v>6.33</v>
      </c>
      <c r="R55">
        <v>7.0000000000000007E-2</v>
      </c>
      <c r="S55">
        <v>2.87</v>
      </c>
      <c r="T55">
        <v>0.14000000000000001</v>
      </c>
      <c r="U55">
        <v>0.74</v>
      </c>
      <c r="V55">
        <v>0.02</v>
      </c>
      <c r="W55">
        <v>0.85</v>
      </c>
      <c r="X55">
        <v>0.05</v>
      </c>
      <c r="Y55">
        <v>7.01</v>
      </c>
      <c r="Z55">
        <v>0.08</v>
      </c>
      <c r="AA55">
        <v>1.4</v>
      </c>
      <c r="AB55">
        <v>0.02</v>
      </c>
      <c r="AW55">
        <v>472</v>
      </c>
      <c r="AX55">
        <v>24</v>
      </c>
      <c r="AY55">
        <v>736</v>
      </c>
      <c r="AZ55">
        <v>24</v>
      </c>
      <c r="BA55">
        <v>256</v>
      </c>
      <c r="BB55">
        <v>10</v>
      </c>
    </row>
    <row r="56" spans="1:54" x14ac:dyDescent="0.25">
      <c r="A56">
        <v>755</v>
      </c>
      <c r="B56" t="s">
        <v>736</v>
      </c>
      <c r="C56">
        <v>51.88</v>
      </c>
      <c r="D56">
        <v>0.54</v>
      </c>
      <c r="E56">
        <v>1.07</v>
      </c>
      <c r="F56">
        <v>0.03</v>
      </c>
      <c r="G56">
        <v>10.43</v>
      </c>
      <c r="H56">
        <v>0.28999999999999998</v>
      </c>
      <c r="I56">
        <v>0.34</v>
      </c>
      <c r="J56">
        <v>0.01</v>
      </c>
      <c r="K56">
        <v>16.93</v>
      </c>
      <c r="L56">
        <v>0.2</v>
      </c>
      <c r="M56">
        <v>0.31</v>
      </c>
      <c r="N56">
        <v>0.02</v>
      </c>
      <c r="O56">
        <v>4.5</v>
      </c>
      <c r="P56">
        <v>0.17</v>
      </c>
      <c r="Q56">
        <v>3.77</v>
      </c>
      <c r="R56">
        <v>0.04</v>
      </c>
      <c r="S56">
        <v>2.92</v>
      </c>
      <c r="T56">
        <v>0.14000000000000001</v>
      </c>
      <c r="U56">
        <v>0.86</v>
      </c>
      <c r="V56">
        <v>0.04</v>
      </c>
      <c r="W56">
        <v>1.08</v>
      </c>
      <c r="X56">
        <v>7.0000000000000007E-2</v>
      </c>
      <c r="Y56">
        <v>5.17</v>
      </c>
      <c r="Z56">
        <v>0.08</v>
      </c>
      <c r="AA56">
        <v>0.37</v>
      </c>
      <c r="AB56">
        <v>0.01</v>
      </c>
      <c r="AW56">
        <v>1155</v>
      </c>
      <c r="AX56">
        <v>60</v>
      </c>
      <c r="AY56">
        <v>1731</v>
      </c>
      <c r="AZ56">
        <v>54</v>
      </c>
      <c r="BA56">
        <v>57</v>
      </c>
      <c r="BB56">
        <v>5</v>
      </c>
    </row>
    <row r="57" spans="1:54" x14ac:dyDescent="0.25">
      <c r="A57">
        <v>758</v>
      </c>
      <c r="B57" t="s">
        <v>737</v>
      </c>
      <c r="C57">
        <v>43.67</v>
      </c>
      <c r="D57">
        <v>0.54</v>
      </c>
      <c r="E57">
        <v>1.04</v>
      </c>
      <c r="F57">
        <v>0.03</v>
      </c>
      <c r="G57">
        <v>8.69</v>
      </c>
      <c r="H57">
        <v>0.19</v>
      </c>
      <c r="I57">
        <v>0.34</v>
      </c>
      <c r="J57">
        <v>0.01</v>
      </c>
      <c r="K57">
        <v>17.329999999999998</v>
      </c>
      <c r="L57">
        <v>0.2</v>
      </c>
      <c r="M57">
        <v>0.33</v>
      </c>
      <c r="N57">
        <v>0.02</v>
      </c>
      <c r="O57">
        <v>7.65</v>
      </c>
      <c r="P57">
        <v>0.17</v>
      </c>
      <c r="Q57">
        <v>5.3</v>
      </c>
      <c r="R57">
        <v>0.06</v>
      </c>
      <c r="S57">
        <v>2.37</v>
      </c>
      <c r="T57">
        <v>0.14000000000000001</v>
      </c>
      <c r="U57">
        <v>0.65</v>
      </c>
      <c r="V57">
        <v>0.02</v>
      </c>
      <c r="W57">
        <v>1.02</v>
      </c>
      <c r="X57">
        <v>7.0000000000000007E-2</v>
      </c>
      <c r="Y57">
        <v>10.11</v>
      </c>
      <c r="Z57">
        <v>0.12</v>
      </c>
      <c r="AA57">
        <v>0.88</v>
      </c>
      <c r="AB57">
        <v>0.02</v>
      </c>
      <c r="AW57">
        <v>2797</v>
      </c>
      <c r="AX57">
        <v>140</v>
      </c>
      <c r="AY57">
        <v>1958</v>
      </c>
      <c r="AZ57">
        <v>60</v>
      </c>
      <c r="BA57">
        <v>98</v>
      </c>
      <c r="BB57">
        <v>5</v>
      </c>
    </row>
    <row r="58" spans="1:54" x14ac:dyDescent="0.25">
      <c r="A58">
        <v>762</v>
      </c>
      <c r="B58" t="s">
        <v>738</v>
      </c>
      <c r="C58">
        <v>51.26</v>
      </c>
      <c r="D58">
        <v>0.54</v>
      </c>
      <c r="E58">
        <v>1.1299999999999999</v>
      </c>
      <c r="F58">
        <v>0.05</v>
      </c>
      <c r="G58">
        <v>10.58</v>
      </c>
      <c r="H58">
        <v>0.28999999999999998</v>
      </c>
      <c r="I58">
        <v>0.36</v>
      </c>
      <c r="J58">
        <v>0.01</v>
      </c>
      <c r="K58">
        <v>18.89</v>
      </c>
      <c r="L58">
        <v>0.2</v>
      </c>
      <c r="M58">
        <v>0.36</v>
      </c>
      <c r="N58">
        <v>0.02</v>
      </c>
      <c r="O58">
        <v>3.62</v>
      </c>
      <c r="P58">
        <v>0.08</v>
      </c>
      <c r="Q58">
        <v>4.0599999999999996</v>
      </c>
      <c r="R58">
        <v>0.04</v>
      </c>
      <c r="S58">
        <v>2.97</v>
      </c>
      <c r="T58">
        <v>0.14000000000000001</v>
      </c>
      <c r="U58">
        <v>0.85</v>
      </c>
      <c r="V58">
        <v>0.04</v>
      </c>
      <c r="W58">
        <v>1.2</v>
      </c>
      <c r="X58">
        <v>7.0000000000000007E-2</v>
      </c>
      <c r="Y58">
        <v>4.07</v>
      </c>
      <c r="Z58">
        <v>0.08</v>
      </c>
      <c r="AA58">
        <v>0.3</v>
      </c>
      <c r="AB58">
        <v>0.02</v>
      </c>
      <c r="AW58">
        <v>483</v>
      </c>
      <c r="AX58">
        <v>24</v>
      </c>
      <c r="AY58">
        <v>2038</v>
      </c>
      <c r="AZ58">
        <v>65</v>
      </c>
      <c r="BA58">
        <v>32</v>
      </c>
      <c r="BB58">
        <v>5</v>
      </c>
    </row>
    <row r="59" spans="1:54" x14ac:dyDescent="0.25">
      <c r="A59">
        <v>767</v>
      </c>
      <c r="B59" t="s">
        <v>739</v>
      </c>
      <c r="C59">
        <v>49.43</v>
      </c>
      <c r="D59">
        <v>0.54</v>
      </c>
      <c r="E59">
        <v>1.17</v>
      </c>
      <c r="F59">
        <v>0.05</v>
      </c>
      <c r="G59">
        <v>9.75</v>
      </c>
      <c r="H59">
        <v>0.28999999999999998</v>
      </c>
      <c r="I59">
        <v>0.38</v>
      </c>
      <c r="J59">
        <v>0.01</v>
      </c>
      <c r="K59">
        <v>20.21</v>
      </c>
      <c r="L59">
        <v>0.26</v>
      </c>
      <c r="M59">
        <v>0.37</v>
      </c>
      <c r="N59">
        <v>0.02</v>
      </c>
      <c r="O59">
        <v>4.5</v>
      </c>
      <c r="P59">
        <v>0.17</v>
      </c>
      <c r="Q59">
        <v>4.08</v>
      </c>
      <c r="R59">
        <v>0.04</v>
      </c>
      <c r="S59">
        <v>2.64</v>
      </c>
      <c r="T59">
        <v>0.14000000000000001</v>
      </c>
      <c r="U59">
        <v>0.92</v>
      </c>
      <c r="V59">
        <v>0.04</v>
      </c>
      <c r="W59">
        <v>1.03</v>
      </c>
      <c r="X59">
        <v>7.0000000000000007E-2</v>
      </c>
      <c r="Y59">
        <v>4.7300000000000004</v>
      </c>
      <c r="Z59">
        <v>0.05</v>
      </c>
      <c r="AA59">
        <v>0.35</v>
      </c>
      <c r="AB59">
        <v>0.01</v>
      </c>
      <c r="AW59">
        <v>1125</v>
      </c>
      <c r="AX59">
        <v>60</v>
      </c>
      <c r="AY59">
        <v>2418</v>
      </c>
      <c r="AZ59">
        <v>74</v>
      </c>
      <c r="BA59">
        <v>38</v>
      </c>
      <c r="BB59">
        <v>5</v>
      </c>
    </row>
    <row r="60" spans="1:54" x14ac:dyDescent="0.25">
      <c r="A60">
        <v>779</v>
      </c>
      <c r="B60" t="s">
        <v>740</v>
      </c>
      <c r="C60">
        <v>45.4</v>
      </c>
      <c r="D60">
        <v>0.54</v>
      </c>
      <c r="E60">
        <v>1.02</v>
      </c>
      <c r="F60">
        <v>0.03</v>
      </c>
      <c r="G60">
        <v>9.2100000000000009</v>
      </c>
      <c r="H60">
        <v>0.19</v>
      </c>
      <c r="I60">
        <v>0.34</v>
      </c>
      <c r="J60">
        <v>0.01</v>
      </c>
      <c r="K60">
        <v>15.88</v>
      </c>
      <c r="L60">
        <v>0.2</v>
      </c>
      <c r="M60">
        <v>0.32</v>
      </c>
      <c r="N60">
        <v>0.02</v>
      </c>
      <c r="O60">
        <v>7.29</v>
      </c>
      <c r="P60">
        <v>0.17</v>
      </c>
      <c r="Q60">
        <v>4.41</v>
      </c>
      <c r="R60">
        <v>0.06</v>
      </c>
      <c r="S60">
        <v>2.4900000000000002</v>
      </c>
      <c r="T60">
        <v>0.14000000000000001</v>
      </c>
      <c r="U60">
        <v>0.71</v>
      </c>
      <c r="V60">
        <v>0.02</v>
      </c>
      <c r="W60">
        <v>1.0900000000000001</v>
      </c>
      <c r="X60">
        <v>7.0000000000000007E-2</v>
      </c>
      <c r="Y60">
        <v>10.51</v>
      </c>
      <c r="Z60">
        <v>0.12</v>
      </c>
      <c r="AA60">
        <v>0.64</v>
      </c>
      <c r="AB60">
        <v>0.02</v>
      </c>
      <c r="AW60">
        <v>3702</v>
      </c>
      <c r="AX60">
        <v>189</v>
      </c>
      <c r="AY60">
        <v>2170</v>
      </c>
      <c r="AZ60">
        <v>70</v>
      </c>
      <c r="BA60">
        <v>70</v>
      </c>
      <c r="BB60">
        <v>5</v>
      </c>
    </row>
    <row r="61" spans="1:54" x14ac:dyDescent="0.25">
      <c r="A61">
        <v>781</v>
      </c>
      <c r="B61" t="s">
        <v>741</v>
      </c>
      <c r="C61">
        <v>48.13</v>
      </c>
      <c r="D61">
        <v>0.54</v>
      </c>
      <c r="E61">
        <v>1.1299999999999999</v>
      </c>
      <c r="F61">
        <v>0.05</v>
      </c>
      <c r="G61">
        <v>9.73</v>
      </c>
      <c r="H61">
        <v>0.28999999999999998</v>
      </c>
      <c r="I61">
        <v>0.39</v>
      </c>
      <c r="J61">
        <v>0.01</v>
      </c>
      <c r="K61">
        <v>19.829999999999998</v>
      </c>
      <c r="L61">
        <v>0.26</v>
      </c>
      <c r="M61">
        <v>0.37</v>
      </c>
      <c r="N61">
        <v>0.02</v>
      </c>
      <c r="O61">
        <v>5.55</v>
      </c>
      <c r="P61">
        <v>0.17</v>
      </c>
      <c r="Q61">
        <v>4.58</v>
      </c>
      <c r="R61">
        <v>0.06</v>
      </c>
      <c r="S61">
        <v>2.65</v>
      </c>
      <c r="T61">
        <v>0.14000000000000001</v>
      </c>
      <c r="U61">
        <v>0.98</v>
      </c>
      <c r="V61">
        <v>0.04</v>
      </c>
      <c r="W61">
        <v>1.02</v>
      </c>
      <c r="X61">
        <v>7.0000000000000007E-2</v>
      </c>
      <c r="Y61">
        <v>4.8600000000000003</v>
      </c>
      <c r="Z61">
        <v>0.08</v>
      </c>
      <c r="AA61">
        <v>0.41</v>
      </c>
      <c r="AB61">
        <v>0.02</v>
      </c>
      <c r="AW61">
        <v>927</v>
      </c>
      <c r="AX61">
        <v>49</v>
      </c>
      <c r="AY61">
        <v>2107</v>
      </c>
      <c r="AZ61">
        <v>65</v>
      </c>
      <c r="BA61">
        <v>40</v>
      </c>
      <c r="BB61">
        <v>5</v>
      </c>
    </row>
    <row r="62" spans="1:54" x14ac:dyDescent="0.25">
      <c r="A62">
        <v>801</v>
      </c>
      <c r="B62" t="s">
        <v>742</v>
      </c>
      <c r="C62">
        <v>42.89</v>
      </c>
      <c r="D62">
        <v>0.54</v>
      </c>
      <c r="E62">
        <v>1.05</v>
      </c>
      <c r="F62">
        <v>0.03</v>
      </c>
      <c r="G62">
        <v>9.06</v>
      </c>
      <c r="H62">
        <v>0.19</v>
      </c>
      <c r="I62">
        <v>0.47</v>
      </c>
      <c r="J62">
        <v>0.01</v>
      </c>
      <c r="K62">
        <v>20.77</v>
      </c>
      <c r="L62">
        <v>0.26</v>
      </c>
      <c r="M62">
        <v>0.44</v>
      </c>
      <c r="N62">
        <v>0.02</v>
      </c>
      <c r="O62">
        <v>8.91</v>
      </c>
      <c r="P62">
        <v>0.25</v>
      </c>
      <c r="Q62">
        <v>7.01</v>
      </c>
      <c r="R62">
        <v>0.08</v>
      </c>
      <c r="S62">
        <v>2.67</v>
      </c>
      <c r="T62">
        <v>0.14000000000000001</v>
      </c>
      <c r="U62">
        <v>0.44</v>
      </c>
      <c r="V62">
        <v>0.02</v>
      </c>
      <c r="W62">
        <v>0.85</v>
      </c>
      <c r="X62">
        <v>0.05</v>
      </c>
      <c r="Y62">
        <v>4.62</v>
      </c>
      <c r="Z62">
        <v>0.08</v>
      </c>
      <c r="AA62">
        <v>0.62</v>
      </c>
      <c r="AB62">
        <v>0.02</v>
      </c>
      <c r="AW62">
        <v>557</v>
      </c>
      <c r="AX62">
        <v>30</v>
      </c>
      <c r="AY62">
        <v>287</v>
      </c>
      <c r="AZ62">
        <v>15</v>
      </c>
      <c r="BA62">
        <v>49</v>
      </c>
      <c r="BB62">
        <v>5</v>
      </c>
    </row>
    <row r="63" spans="1:54" x14ac:dyDescent="0.25">
      <c r="A63">
        <v>802</v>
      </c>
      <c r="B63" t="s">
        <v>743</v>
      </c>
      <c r="C63">
        <v>43.43</v>
      </c>
      <c r="D63">
        <v>0.54</v>
      </c>
      <c r="E63">
        <v>0.99</v>
      </c>
      <c r="F63">
        <v>0.03</v>
      </c>
      <c r="G63">
        <v>9.0399999999999991</v>
      </c>
      <c r="H63">
        <v>0.19</v>
      </c>
      <c r="I63">
        <v>0.39</v>
      </c>
      <c r="J63">
        <v>0.01</v>
      </c>
      <c r="K63">
        <v>19.78</v>
      </c>
      <c r="L63">
        <v>0.26</v>
      </c>
      <c r="M63">
        <v>0.42</v>
      </c>
      <c r="N63">
        <v>0.02</v>
      </c>
      <c r="O63">
        <v>8.81</v>
      </c>
      <c r="P63">
        <v>0.25</v>
      </c>
      <c r="Q63">
        <v>6.97</v>
      </c>
      <c r="R63">
        <v>7.0000000000000007E-2</v>
      </c>
      <c r="S63">
        <v>2.71</v>
      </c>
      <c r="T63">
        <v>0.14000000000000001</v>
      </c>
      <c r="U63">
        <v>0.47</v>
      </c>
      <c r="V63">
        <v>0.02</v>
      </c>
      <c r="W63">
        <v>0.92</v>
      </c>
      <c r="X63">
        <v>0.05</v>
      </c>
      <c r="Y63">
        <v>5.21</v>
      </c>
      <c r="Z63">
        <v>0.08</v>
      </c>
      <c r="AA63">
        <v>0.7</v>
      </c>
      <c r="AB63">
        <v>0.02</v>
      </c>
      <c r="AW63">
        <v>542</v>
      </c>
      <c r="AX63">
        <v>30</v>
      </c>
      <c r="AY63">
        <v>276</v>
      </c>
      <c r="AZ63">
        <v>10</v>
      </c>
      <c r="BA63">
        <v>43</v>
      </c>
      <c r="BB63">
        <v>5</v>
      </c>
    </row>
    <row r="64" spans="1:54" x14ac:dyDescent="0.25">
      <c r="A64">
        <v>805</v>
      </c>
      <c r="B64" t="s">
        <v>744</v>
      </c>
      <c r="C64">
        <v>51.61</v>
      </c>
      <c r="D64">
        <v>0.54</v>
      </c>
      <c r="E64">
        <v>1.1100000000000001</v>
      </c>
      <c r="F64">
        <v>0.03</v>
      </c>
      <c r="G64">
        <v>10.55</v>
      </c>
      <c r="H64">
        <v>0.28999999999999998</v>
      </c>
      <c r="I64">
        <v>0.35</v>
      </c>
      <c r="J64">
        <v>0.01</v>
      </c>
      <c r="K64">
        <v>16.59</v>
      </c>
      <c r="L64">
        <v>0.2</v>
      </c>
      <c r="M64">
        <v>0.34</v>
      </c>
      <c r="N64">
        <v>0.02</v>
      </c>
      <c r="O64">
        <v>5.0599999999999996</v>
      </c>
      <c r="P64">
        <v>0.17</v>
      </c>
      <c r="Q64">
        <v>4.0199999999999996</v>
      </c>
      <c r="R64">
        <v>0.04</v>
      </c>
      <c r="S64">
        <v>2.77</v>
      </c>
      <c r="T64">
        <v>0.14000000000000001</v>
      </c>
      <c r="U64">
        <v>0.85</v>
      </c>
      <c r="V64">
        <v>0.04</v>
      </c>
      <c r="W64">
        <v>1.02</v>
      </c>
      <c r="X64">
        <v>7.0000000000000007E-2</v>
      </c>
      <c r="Y64">
        <v>4.93</v>
      </c>
      <c r="Z64">
        <v>0.08</v>
      </c>
      <c r="AA64">
        <v>0.52</v>
      </c>
      <c r="AB64">
        <v>0.02</v>
      </c>
      <c r="AW64">
        <v>487</v>
      </c>
      <c r="AX64">
        <v>24</v>
      </c>
      <c r="AY64">
        <v>1606</v>
      </c>
      <c r="AZ64">
        <v>49</v>
      </c>
      <c r="BA64">
        <v>97</v>
      </c>
      <c r="BB64">
        <v>5</v>
      </c>
    </row>
    <row r="65" spans="1:54" x14ac:dyDescent="0.25">
      <c r="A65">
        <v>806</v>
      </c>
      <c r="B65" t="s">
        <v>745</v>
      </c>
      <c r="C65">
        <v>51.5</v>
      </c>
      <c r="D65">
        <v>0.54</v>
      </c>
      <c r="E65">
        <v>1.1100000000000001</v>
      </c>
      <c r="F65">
        <v>0.03</v>
      </c>
      <c r="G65">
        <v>10.37</v>
      </c>
      <c r="H65">
        <v>0.28999999999999998</v>
      </c>
      <c r="I65">
        <v>0.35</v>
      </c>
      <c r="J65">
        <v>0.01</v>
      </c>
      <c r="K65">
        <v>17.850000000000001</v>
      </c>
      <c r="L65">
        <v>0.2</v>
      </c>
      <c r="M65">
        <v>0.51</v>
      </c>
      <c r="N65">
        <v>0.02</v>
      </c>
      <c r="O65">
        <v>4.93</v>
      </c>
      <c r="P65">
        <v>0.17</v>
      </c>
      <c r="Q65">
        <v>3.79</v>
      </c>
      <c r="R65">
        <v>0.04</v>
      </c>
      <c r="S65">
        <v>2.83</v>
      </c>
      <c r="T65">
        <v>0.14000000000000001</v>
      </c>
      <c r="U65">
        <v>0.98</v>
      </c>
      <c r="V65">
        <v>0.04</v>
      </c>
      <c r="W65">
        <v>1.37</v>
      </c>
      <c r="X65">
        <v>7.0000000000000007E-2</v>
      </c>
      <c r="Y65">
        <v>3.57</v>
      </c>
      <c r="Z65">
        <v>0.05</v>
      </c>
      <c r="AA65">
        <v>0.54</v>
      </c>
      <c r="AB65">
        <v>0.02</v>
      </c>
      <c r="AW65">
        <v>560</v>
      </c>
      <c r="AX65">
        <v>30</v>
      </c>
      <c r="AY65">
        <v>1557</v>
      </c>
      <c r="AZ65">
        <v>49</v>
      </c>
      <c r="BA65">
        <v>138</v>
      </c>
      <c r="BB65">
        <v>5</v>
      </c>
    </row>
    <row r="66" spans="1:54" x14ac:dyDescent="0.25">
      <c r="A66">
        <v>808</v>
      </c>
      <c r="B66" t="s">
        <v>746</v>
      </c>
      <c r="C66">
        <v>50.09</v>
      </c>
      <c r="D66">
        <v>0.54</v>
      </c>
      <c r="E66">
        <v>1.07</v>
      </c>
      <c r="F66">
        <v>0.03</v>
      </c>
      <c r="G66">
        <v>11.77</v>
      </c>
      <c r="H66">
        <v>0.28999999999999998</v>
      </c>
      <c r="I66">
        <v>0.34</v>
      </c>
      <c r="J66">
        <v>0.01</v>
      </c>
      <c r="K66">
        <v>12.74</v>
      </c>
      <c r="L66">
        <v>0.13</v>
      </c>
      <c r="M66">
        <v>0.31</v>
      </c>
      <c r="N66">
        <v>0.02</v>
      </c>
      <c r="O66">
        <v>5.41</v>
      </c>
      <c r="P66">
        <v>0.17</v>
      </c>
      <c r="Q66">
        <v>4.12</v>
      </c>
      <c r="R66">
        <v>0.04</v>
      </c>
      <c r="S66">
        <v>2.81</v>
      </c>
      <c r="T66">
        <v>0.14000000000000001</v>
      </c>
      <c r="U66">
        <v>0.65</v>
      </c>
      <c r="V66">
        <v>0.02</v>
      </c>
      <c r="W66">
        <v>1.3</v>
      </c>
      <c r="X66">
        <v>7.0000000000000007E-2</v>
      </c>
      <c r="Y66">
        <v>8.06</v>
      </c>
      <c r="Z66">
        <v>0.1</v>
      </c>
      <c r="AA66">
        <v>0.95</v>
      </c>
      <c r="AB66">
        <v>0.02</v>
      </c>
      <c r="AW66">
        <v>1006</v>
      </c>
      <c r="AX66">
        <v>54</v>
      </c>
      <c r="AY66">
        <v>1854</v>
      </c>
      <c r="AZ66">
        <v>60</v>
      </c>
      <c r="BA66">
        <v>91</v>
      </c>
      <c r="BB66">
        <v>5</v>
      </c>
    </row>
    <row r="67" spans="1:54" x14ac:dyDescent="0.25">
      <c r="A67">
        <v>809</v>
      </c>
      <c r="B67" t="s">
        <v>747</v>
      </c>
      <c r="C67">
        <v>51.84</v>
      </c>
      <c r="D67">
        <v>0.54</v>
      </c>
      <c r="E67">
        <v>1.07</v>
      </c>
      <c r="F67">
        <v>0.03</v>
      </c>
      <c r="G67">
        <v>12.41</v>
      </c>
      <c r="H67">
        <v>0.28999999999999998</v>
      </c>
      <c r="I67">
        <v>0.39</v>
      </c>
      <c r="J67">
        <v>0.01</v>
      </c>
      <c r="K67">
        <v>13.51</v>
      </c>
      <c r="L67">
        <v>0.2</v>
      </c>
      <c r="M67">
        <v>0.34</v>
      </c>
      <c r="N67">
        <v>0.02</v>
      </c>
      <c r="O67">
        <v>4.47</v>
      </c>
      <c r="P67">
        <v>0.17</v>
      </c>
      <c r="Q67">
        <v>4.29</v>
      </c>
      <c r="R67">
        <v>0.06</v>
      </c>
      <c r="S67">
        <v>2.84</v>
      </c>
      <c r="T67">
        <v>0.14000000000000001</v>
      </c>
      <c r="U67">
        <v>0.65</v>
      </c>
      <c r="V67">
        <v>0.02</v>
      </c>
      <c r="W67">
        <v>1.44</v>
      </c>
      <c r="X67">
        <v>0.09</v>
      </c>
      <c r="Y67">
        <v>5.84</v>
      </c>
      <c r="Z67">
        <v>0.08</v>
      </c>
      <c r="AA67">
        <v>0.52</v>
      </c>
      <c r="AB67">
        <v>0.02</v>
      </c>
      <c r="AW67">
        <v>838</v>
      </c>
      <c r="AX67">
        <v>44</v>
      </c>
      <c r="AY67">
        <v>1737</v>
      </c>
      <c r="AZ67">
        <v>54</v>
      </c>
      <c r="BA67">
        <v>85</v>
      </c>
      <c r="BB67">
        <v>5</v>
      </c>
    </row>
    <row r="68" spans="1:54" x14ac:dyDescent="0.25">
      <c r="A68">
        <v>810</v>
      </c>
      <c r="B68" t="s">
        <v>748</v>
      </c>
      <c r="C68">
        <v>43.34</v>
      </c>
      <c r="D68">
        <v>0.54</v>
      </c>
      <c r="E68">
        <v>1.0900000000000001</v>
      </c>
      <c r="F68">
        <v>0.03</v>
      </c>
      <c r="G68">
        <v>9.61</v>
      </c>
      <c r="H68">
        <v>0.28999999999999998</v>
      </c>
      <c r="I68">
        <v>0.35</v>
      </c>
      <c r="J68">
        <v>0.01</v>
      </c>
      <c r="K68">
        <v>11.67</v>
      </c>
      <c r="L68">
        <v>0.13</v>
      </c>
      <c r="M68">
        <v>0.34</v>
      </c>
      <c r="N68">
        <v>0.02</v>
      </c>
      <c r="O68">
        <v>8.39</v>
      </c>
      <c r="P68">
        <v>0.25</v>
      </c>
      <c r="Q68">
        <v>5.59</v>
      </c>
      <c r="R68">
        <v>0.06</v>
      </c>
      <c r="S68">
        <v>2.66</v>
      </c>
      <c r="T68">
        <v>0.14000000000000001</v>
      </c>
      <c r="U68">
        <v>0.55000000000000004</v>
      </c>
      <c r="V68">
        <v>0.02</v>
      </c>
      <c r="W68">
        <v>1.2</v>
      </c>
      <c r="X68">
        <v>7.0000000000000007E-2</v>
      </c>
      <c r="Y68">
        <v>13.51</v>
      </c>
      <c r="Z68">
        <v>0.15</v>
      </c>
      <c r="AA68">
        <v>1.1000000000000001</v>
      </c>
      <c r="AB68">
        <v>0.02</v>
      </c>
      <c r="AW68">
        <v>3370</v>
      </c>
      <c r="AX68">
        <v>170</v>
      </c>
      <c r="AY68">
        <v>1652</v>
      </c>
      <c r="AZ68">
        <v>49</v>
      </c>
      <c r="BA68">
        <v>149</v>
      </c>
      <c r="BB68">
        <v>5</v>
      </c>
    </row>
    <row r="69" spans="1:54" x14ac:dyDescent="0.25">
      <c r="A69">
        <v>813</v>
      </c>
      <c r="B69" t="s">
        <v>749</v>
      </c>
      <c r="C69">
        <v>52.85</v>
      </c>
      <c r="D69">
        <v>0.54</v>
      </c>
      <c r="E69">
        <v>1.06</v>
      </c>
      <c r="F69">
        <v>0.03</v>
      </c>
      <c r="G69">
        <v>12.15</v>
      </c>
      <c r="H69">
        <v>0.28999999999999998</v>
      </c>
      <c r="I69">
        <v>0.38</v>
      </c>
      <c r="J69">
        <v>0.01</v>
      </c>
      <c r="K69">
        <v>13.28</v>
      </c>
      <c r="L69">
        <v>0.2</v>
      </c>
      <c r="M69">
        <v>0.32</v>
      </c>
      <c r="N69">
        <v>0.02</v>
      </c>
      <c r="O69">
        <v>5.4</v>
      </c>
      <c r="P69">
        <v>0.17</v>
      </c>
      <c r="Q69">
        <v>4.09</v>
      </c>
      <c r="R69">
        <v>0.04</v>
      </c>
      <c r="S69">
        <v>2.75</v>
      </c>
      <c r="T69">
        <v>0.14000000000000001</v>
      </c>
      <c r="U69">
        <v>0.76</v>
      </c>
      <c r="V69">
        <v>0.02</v>
      </c>
      <c r="W69">
        <v>1.33</v>
      </c>
      <c r="X69">
        <v>7.0000000000000007E-2</v>
      </c>
      <c r="Y69">
        <v>4.33</v>
      </c>
      <c r="Z69">
        <v>0.05</v>
      </c>
      <c r="AA69">
        <v>0.92</v>
      </c>
      <c r="AB69">
        <v>0.02</v>
      </c>
      <c r="AW69">
        <v>785</v>
      </c>
      <c r="AX69">
        <v>40</v>
      </c>
      <c r="AY69">
        <v>1544</v>
      </c>
      <c r="AZ69">
        <v>49</v>
      </c>
      <c r="BA69">
        <v>494</v>
      </c>
      <c r="BB69">
        <v>15</v>
      </c>
    </row>
    <row r="70" spans="1:54" x14ac:dyDescent="0.25">
      <c r="A70">
        <v>814</v>
      </c>
      <c r="B70" t="s">
        <v>750</v>
      </c>
      <c r="C70">
        <v>53.01</v>
      </c>
      <c r="D70">
        <v>0.54</v>
      </c>
      <c r="E70">
        <v>1.07</v>
      </c>
      <c r="F70">
        <v>0.03</v>
      </c>
      <c r="G70">
        <v>13.22</v>
      </c>
      <c r="H70">
        <v>0.28999999999999998</v>
      </c>
      <c r="I70">
        <v>0.42</v>
      </c>
      <c r="J70">
        <v>0.01</v>
      </c>
      <c r="K70">
        <v>13.47</v>
      </c>
      <c r="L70">
        <v>0.2</v>
      </c>
      <c r="M70">
        <v>0.27</v>
      </c>
      <c r="N70">
        <v>0.02</v>
      </c>
      <c r="O70">
        <v>5.09</v>
      </c>
      <c r="P70">
        <v>0.17</v>
      </c>
      <c r="Q70">
        <v>3.58</v>
      </c>
      <c r="R70">
        <v>0.04</v>
      </c>
      <c r="S70">
        <v>2.75</v>
      </c>
      <c r="T70">
        <v>0.14000000000000001</v>
      </c>
      <c r="U70">
        <v>0.81</v>
      </c>
      <c r="V70">
        <v>0.04</v>
      </c>
      <c r="W70">
        <v>1.1200000000000001</v>
      </c>
      <c r="X70">
        <v>7.0000000000000007E-2</v>
      </c>
      <c r="Y70">
        <v>4.0599999999999996</v>
      </c>
      <c r="Z70">
        <v>0.05</v>
      </c>
      <c r="AA70">
        <v>0.76</v>
      </c>
      <c r="AB70">
        <v>0.02</v>
      </c>
      <c r="AW70">
        <v>760</v>
      </c>
      <c r="AX70">
        <v>40</v>
      </c>
      <c r="AY70">
        <v>1535</v>
      </c>
      <c r="AZ70">
        <v>49</v>
      </c>
      <c r="BA70">
        <v>728</v>
      </c>
      <c r="BB70">
        <v>24</v>
      </c>
    </row>
    <row r="71" spans="1:54" x14ac:dyDescent="0.25">
      <c r="A71">
        <v>815</v>
      </c>
      <c r="B71" t="s">
        <v>751</v>
      </c>
      <c r="C71">
        <v>55.8</v>
      </c>
      <c r="D71">
        <v>0.64</v>
      </c>
      <c r="E71">
        <v>1.1000000000000001</v>
      </c>
      <c r="F71">
        <v>0.03</v>
      </c>
      <c r="G71">
        <v>12.72</v>
      </c>
      <c r="H71">
        <v>0.28999999999999998</v>
      </c>
      <c r="I71">
        <v>0.37</v>
      </c>
      <c r="J71">
        <v>0.01</v>
      </c>
      <c r="K71">
        <v>11.99</v>
      </c>
      <c r="L71">
        <v>0.13</v>
      </c>
      <c r="M71">
        <v>0.28000000000000003</v>
      </c>
      <c r="N71">
        <v>0.02</v>
      </c>
      <c r="O71">
        <v>5.01</v>
      </c>
      <c r="P71">
        <v>0.17</v>
      </c>
      <c r="Q71">
        <v>3.77</v>
      </c>
      <c r="R71">
        <v>0.04</v>
      </c>
      <c r="S71">
        <v>2.85</v>
      </c>
      <c r="T71">
        <v>0.14000000000000001</v>
      </c>
      <c r="U71">
        <v>0.8</v>
      </c>
      <c r="V71">
        <v>0.02</v>
      </c>
      <c r="W71">
        <v>1.1499999999999999</v>
      </c>
      <c r="X71">
        <v>7.0000000000000007E-2</v>
      </c>
      <c r="Y71">
        <v>3.26</v>
      </c>
      <c r="Z71">
        <v>0.05</v>
      </c>
      <c r="AA71">
        <v>0.48</v>
      </c>
      <c r="AB71">
        <v>0.01</v>
      </c>
      <c r="AW71">
        <v>637</v>
      </c>
      <c r="AX71">
        <v>35</v>
      </c>
      <c r="AY71">
        <v>1675</v>
      </c>
      <c r="AZ71">
        <v>54</v>
      </c>
      <c r="BA71">
        <v>685</v>
      </c>
      <c r="BB71">
        <v>24</v>
      </c>
    </row>
    <row r="72" spans="1:54" x14ac:dyDescent="0.25">
      <c r="A72">
        <v>819</v>
      </c>
      <c r="B72" t="s">
        <v>752</v>
      </c>
      <c r="C72">
        <v>53.6</v>
      </c>
      <c r="D72">
        <v>0.64</v>
      </c>
      <c r="E72">
        <v>0.98</v>
      </c>
      <c r="F72">
        <v>0.03</v>
      </c>
      <c r="G72">
        <v>11.56</v>
      </c>
      <c r="H72">
        <v>0.28999999999999998</v>
      </c>
      <c r="I72">
        <v>0.35</v>
      </c>
      <c r="J72">
        <v>0.01</v>
      </c>
      <c r="K72">
        <v>15.31</v>
      </c>
      <c r="L72">
        <v>0.2</v>
      </c>
      <c r="M72">
        <v>0.33</v>
      </c>
      <c r="N72">
        <v>0.02</v>
      </c>
      <c r="O72">
        <v>4.4400000000000004</v>
      </c>
      <c r="P72">
        <v>0.17</v>
      </c>
      <c r="Q72">
        <v>4.2300000000000004</v>
      </c>
      <c r="R72">
        <v>0.06</v>
      </c>
      <c r="S72">
        <v>2.85</v>
      </c>
      <c r="T72">
        <v>0.14000000000000001</v>
      </c>
      <c r="U72">
        <v>0.77</v>
      </c>
      <c r="V72">
        <v>0.02</v>
      </c>
      <c r="W72">
        <v>1.19</v>
      </c>
      <c r="X72">
        <v>7.0000000000000007E-2</v>
      </c>
      <c r="Y72">
        <v>3.81</v>
      </c>
      <c r="Z72">
        <v>0.05</v>
      </c>
      <c r="AA72">
        <v>0.31</v>
      </c>
      <c r="AB72">
        <v>0.01</v>
      </c>
      <c r="AW72">
        <v>436</v>
      </c>
      <c r="AX72">
        <v>24</v>
      </c>
      <c r="AY72">
        <v>1391</v>
      </c>
      <c r="AZ72">
        <v>44</v>
      </c>
      <c r="BA72">
        <v>31</v>
      </c>
      <c r="BB72">
        <v>5</v>
      </c>
    </row>
    <row r="73" spans="1:54" x14ac:dyDescent="0.25">
      <c r="A73">
        <v>820</v>
      </c>
      <c r="B73" t="s">
        <v>753</v>
      </c>
      <c r="C73">
        <v>52</v>
      </c>
      <c r="D73">
        <v>0.54</v>
      </c>
      <c r="E73">
        <v>0.96</v>
      </c>
      <c r="F73">
        <v>0.03</v>
      </c>
      <c r="G73">
        <v>11.18</v>
      </c>
      <c r="H73">
        <v>0.28999999999999998</v>
      </c>
      <c r="I73">
        <v>0.36</v>
      </c>
      <c r="J73">
        <v>0.01</v>
      </c>
      <c r="K73">
        <v>15.19</v>
      </c>
      <c r="L73">
        <v>0.2</v>
      </c>
      <c r="M73">
        <v>0.32</v>
      </c>
      <c r="N73">
        <v>0.02</v>
      </c>
      <c r="O73">
        <v>5.34</v>
      </c>
      <c r="P73">
        <v>0.17</v>
      </c>
      <c r="Q73">
        <v>4.41</v>
      </c>
      <c r="R73">
        <v>0.06</v>
      </c>
      <c r="S73">
        <v>2.76</v>
      </c>
      <c r="T73">
        <v>0.14000000000000001</v>
      </c>
      <c r="U73">
        <v>0.73</v>
      </c>
      <c r="V73">
        <v>0.02</v>
      </c>
      <c r="W73">
        <v>1.1599999999999999</v>
      </c>
      <c r="X73">
        <v>7.0000000000000007E-2</v>
      </c>
      <c r="Y73">
        <v>4.7699999999999996</v>
      </c>
      <c r="Z73">
        <v>0.08</v>
      </c>
      <c r="AA73">
        <v>0.56000000000000005</v>
      </c>
      <c r="AB73">
        <v>0.02</v>
      </c>
      <c r="AW73">
        <v>562</v>
      </c>
      <c r="AX73">
        <v>30</v>
      </c>
      <c r="AY73">
        <v>1367</v>
      </c>
      <c r="AZ73">
        <v>44</v>
      </c>
      <c r="BA73">
        <v>37</v>
      </c>
      <c r="BB73">
        <v>5</v>
      </c>
    </row>
    <row r="74" spans="1:54" x14ac:dyDescent="0.25">
      <c r="A74">
        <v>824</v>
      </c>
      <c r="B74" t="s">
        <v>754</v>
      </c>
      <c r="C74">
        <v>52.98</v>
      </c>
      <c r="D74">
        <v>0.54</v>
      </c>
      <c r="E74">
        <v>0.97</v>
      </c>
      <c r="F74">
        <v>0.03</v>
      </c>
      <c r="G74">
        <v>10.76</v>
      </c>
      <c r="H74">
        <v>0.28999999999999998</v>
      </c>
      <c r="I74">
        <v>0.33</v>
      </c>
      <c r="J74">
        <v>0.01</v>
      </c>
      <c r="K74">
        <v>15.81</v>
      </c>
      <c r="L74">
        <v>0.2</v>
      </c>
      <c r="M74">
        <v>0.3</v>
      </c>
      <c r="N74">
        <v>0.02</v>
      </c>
      <c r="O74">
        <v>4.92</v>
      </c>
      <c r="P74">
        <v>0.17</v>
      </c>
      <c r="Q74">
        <v>4.09</v>
      </c>
      <c r="R74">
        <v>0.04</v>
      </c>
      <c r="S74">
        <v>2.73</v>
      </c>
      <c r="T74">
        <v>0.14000000000000001</v>
      </c>
      <c r="U74">
        <v>0.76</v>
      </c>
      <c r="V74">
        <v>0.02</v>
      </c>
      <c r="W74">
        <v>1.1499999999999999</v>
      </c>
      <c r="X74">
        <v>7.0000000000000007E-2</v>
      </c>
      <c r="Y74">
        <v>4.46</v>
      </c>
      <c r="Z74">
        <v>0.05</v>
      </c>
      <c r="AA74">
        <v>0.5</v>
      </c>
      <c r="AB74">
        <v>0.01</v>
      </c>
      <c r="AW74">
        <v>531</v>
      </c>
      <c r="AX74">
        <v>30</v>
      </c>
      <c r="AY74">
        <v>1213</v>
      </c>
      <c r="AZ74">
        <v>40</v>
      </c>
      <c r="BA74">
        <v>13</v>
      </c>
      <c r="BB74">
        <v>5</v>
      </c>
    </row>
    <row r="75" spans="1:54" x14ac:dyDescent="0.25">
      <c r="A75">
        <v>828</v>
      </c>
      <c r="B75" t="s">
        <v>755</v>
      </c>
      <c r="C75">
        <v>52.77</v>
      </c>
      <c r="D75">
        <v>0.54</v>
      </c>
      <c r="E75">
        <v>1.1100000000000001</v>
      </c>
      <c r="F75">
        <v>0.03</v>
      </c>
      <c r="G75">
        <v>11.32</v>
      </c>
      <c r="H75">
        <v>0.28999999999999998</v>
      </c>
      <c r="I75">
        <v>0.37</v>
      </c>
      <c r="J75">
        <v>0.01</v>
      </c>
      <c r="K75">
        <v>15.67</v>
      </c>
      <c r="L75">
        <v>0.2</v>
      </c>
      <c r="M75">
        <v>0.27</v>
      </c>
      <c r="N75">
        <v>0.02</v>
      </c>
      <c r="O75">
        <v>5.22</v>
      </c>
      <c r="P75">
        <v>0.17</v>
      </c>
      <c r="Q75">
        <v>4.08</v>
      </c>
      <c r="R75">
        <v>0.04</v>
      </c>
      <c r="S75">
        <v>2.77</v>
      </c>
      <c r="T75">
        <v>0.14000000000000001</v>
      </c>
      <c r="U75">
        <v>0.76</v>
      </c>
      <c r="V75">
        <v>0.02</v>
      </c>
      <c r="W75">
        <v>1.03</v>
      </c>
      <c r="X75">
        <v>7.0000000000000007E-2</v>
      </c>
      <c r="Y75">
        <v>3.41</v>
      </c>
      <c r="Z75">
        <v>0.05</v>
      </c>
      <c r="AA75">
        <v>0.87</v>
      </c>
      <c r="AB75">
        <v>0.02</v>
      </c>
      <c r="AW75">
        <v>732</v>
      </c>
      <c r="AX75">
        <v>40</v>
      </c>
      <c r="AY75">
        <v>1162</v>
      </c>
      <c r="AZ75">
        <v>35</v>
      </c>
      <c r="BA75">
        <v>949</v>
      </c>
      <c r="BB75">
        <v>30</v>
      </c>
    </row>
    <row r="76" spans="1:54" x14ac:dyDescent="0.25">
      <c r="A76">
        <v>830</v>
      </c>
      <c r="B76" t="s">
        <v>756</v>
      </c>
      <c r="C76">
        <v>50.27</v>
      </c>
      <c r="D76">
        <v>0.54</v>
      </c>
      <c r="E76">
        <v>0.98</v>
      </c>
      <c r="F76">
        <v>0.03</v>
      </c>
      <c r="G76">
        <v>10.43</v>
      </c>
      <c r="H76">
        <v>0.28999999999999998</v>
      </c>
      <c r="I76">
        <v>0.38</v>
      </c>
      <c r="J76">
        <v>0.01</v>
      </c>
      <c r="K76">
        <v>14.72</v>
      </c>
      <c r="L76">
        <v>0.2</v>
      </c>
      <c r="M76">
        <v>0.23</v>
      </c>
      <c r="N76">
        <v>0.02</v>
      </c>
      <c r="O76">
        <v>5.74</v>
      </c>
      <c r="P76">
        <v>0.17</v>
      </c>
      <c r="Q76">
        <v>5.0599999999999996</v>
      </c>
      <c r="R76">
        <v>0.06</v>
      </c>
      <c r="S76">
        <v>2.48</v>
      </c>
      <c r="T76">
        <v>0.14000000000000001</v>
      </c>
      <c r="U76">
        <v>0.72</v>
      </c>
      <c r="V76">
        <v>0.02</v>
      </c>
      <c r="W76">
        <v>0.85</v>
      </c>
      <c r="X76">
        <v>0.05</v>
      </c>
      <c r="Y76">
        <v>6.97</v>
      </c>
      <c r="Z76">
        <v>0.08</v>
      </c>
      <c r="AA76">
        <v>0.88</v>
      </c>
      <c r="AB76">
        <v>0.02</v>
      </c>
      <c r="AW76">
        <v>847</v>
      </c>
      <c r="AX76">
        <v>44</v>
      </c>
      <c r="AY76">
        <v>1316</v>
      </c>
      <c r="AZ76">
        <v>40</v>
      </c>
      <c r="BA76">
        <v>328</v>
      </c>
      <c r="BB76">
        <v>10</v>
      </c>
    </row>
    <row r="77" spans="1:54" x14ac:dyDescent="0.25">
      <c r="A77">
        <v>831</v>
      </c>
      <c r="B77" t="s">
        <v>757</v>
      </c>
      <c r="C77">
        <v>47.55</v>
      </c>
      <c r="D77">
        <v>0.54</v>
      </c>
      <c r="E77">
        <v>0.96</v>
      </c>
      <c r="F77">
        <v>0.03</v>
      </c>
      <c r="G77">
        <v>9.8000000000000007</v>
      </c>
      <c r="H77">
        <v>0.28999999999999998</v>
      </c>
      <c r="I77">
        <v>0.4</v>
      </c>
      <c r="J77">
        <v>0.01</v>
      </c>
      <c r="K77">
        <v>14.75</v>
      </c>
      <c r="L77">
        <v>0.2</v>
      </c>
      <c r="M77">
        <v>0.23</v>
      </c>
      <c r="N77">
        <v>0.02</v>
      </c>
      <c r="O77">
        <v>6.18</v>
      </c>
      <c r="P77">
        <v>0.17</v>
      </c>
      <c r="Q77">
        <v>6.12</v>
      </c>
      <c r="R77">
        <v>7.0000000000000007E-2</v>
      </c>
      <c r="S77">
        <v>2.46</v>
      </c>
      <c r="T77">
        <v>0.14000000000000001</v>
      </c>
      <c r="U77">
        <v>0.67</v>
      </c>
      <c r="V77">
        <v>0.02</v>
      </c>
      <c r="W77">
        <v>0.93</v>
      </c>
      <c r="X77">
        <v>7.0000000000000007E-2</v>
      </c>
      <c r="Y77">
        <v>8.69</v>
      </c>
      <c r="Z77">
        <v>0.1</v>
      </c>
      <c r="AA77">
        <v>0.94</v>
      </c>
      <c r="AB77">
        <v>0.02</v>
      </c>
      <c r="AW77">
        <v>825</v>
      </c>
      <c r="AX77">
        <v>44</v>
      </c>
      <c r="AY77">
        <v>1130</v>
      </c>
      <c r="AZ77">
        <v>35</v>
      </c>
      <c r="BA77">
        <v>450</v>
      </c>
      <c r="BB77">
        <v>15</v>
      </c>
    </row>
    <row r="78" spans="1:54" x14ac:dyDescent="0.25">
      <c r="A78">
        <v>833</v>
      </c>
      <c r="B78" t="s">
        <v>758</v>
      </c>
      <c r="C78">
        <v>48.35</v>
      </c>
      <c r="D78">
        <v>0.54</v>
      </c>
      <c r="E78">
        <v>1.03</v>
      </c>
      <c r="F78">
        <v>0.03</v>
      </c>
      <c r="G78">
        <v>9.64</v>
      </c>
      <c r="H78">
        <v>0.28999999999999998</v>
      </c>
      <c r="I78">
        <v>0.39</v>
      </c>
      <c r="J78">
        <v>0.01</v>
      </c>
      <c r="K78">
        <v>15.76</v>
      </c>
      <c r="L78">
        <v>0.2</v>
      </c>
      <c r="M78">
        <v>0.27</v>
      </c>
      <c r="N78">
        <v>0.02</v>
      </c>
      <c r="O78">
        <v>7.25</v>
      </c>
      <c r="P78">
        <v>0.17</v>
      </c>
      <c r="Q78">
        <v>5.04</v>
      </c>
      <c r="R78">
        <v>0.06</v>
      </c>
      <c r="S78">
        <v>2.58</v>
      </c>
      <c r="T78">
        <v>0.14000000000000001</v>
      </c>
      <c r="U78">
        <v>0.7</v>
      </c>
      <c r="V78">
        <v>0.02</v>
      </c>
      <c r="W78">
        <v>0.95</v>
      </c>
      <c r="X78">
        <v>7.0000000000000007E-2</v>
      </c>
      <c r="Y78">
        <v>6.48</v>
      </c>
      <c r="Z78">
        <v>0.08</v>
      </c>
      <c r="AA78">
        <v>1.26</v>
      </c>
      <c r="AB78">
        <v>0.02</v>
      </c>
      <c r="AW78">
        <v>816</v>
      </c>
      <c r="AX78">
        <v>44</v>
      </c>
      <c r="AY78">
        <v>1208</v>
      </c>
      <c r="AZ78">
        <v>40</v>
      </c>
      <c r="BA78">
        <v>491</v>
      </c>
      <c r="BB78">
        <v>15</v>
      </c>
    </row>
    <row r="79" spans="1:54" x14ac:dyDescent="0.25">
      <c r="A79">
        <v>842</v>
      </c>
      <c r="B79" t="s">
        <v>759</v>
      </c>
      <c r="C79">
        <v>39.78</v>
      </c>
      <c r="D79">
        <v>0.43</v>
      </c>
      <c r="E79">
        <v>0.84</v>
      </c>
      <c r="F79">
        <v>0.03</v>
      </c>
      <c r="G79">
        <v>8.7799999999999994</v>
      </c>
      <c r="H79">
        <v>0.19</v>
      </c>
      <c r="I79">
        <v>0.13</v>
      </c>
      <c r="J79">
        <v>0.01</v>
      </c>
      <c r="K79">
        <v>17.05</v>
      </c>
      <c r="L79">
        <v>0.2</v>
      </c>
      <c r="M79">
        <v>0.4</v>
      </c>
      <c r="N79">
        <v>0.02</v>
      </c>
      <c r="O79">
        <v>6.04</v>
      </c>
      <c r="P79">
        <v>0.17</v>
      </c>
      <c r="Q79">
        <v>12.7</v>
      </c>
      <c r="R79">
        <v>0.14000000000000001</v>
      </c>
      <c r="S79">
        <v>2.42</v>
      </c>
      <c r="T79">
        <v>0.14000000000000001</v>
      </c>
      <c r="U79">
        <v>0.24</v>
      </c>
      <c r="V79">
        <v>0.01</v>
      </c>
      <c r="W79">
        <v>0.89</v>
      </c>
      <c r="X79">
        <v>0.05</v>
      </c>
      <c r="Y79">
        <v>9.08</v>
      </c>
      <c r="Z79">
        <v>0.1</v>
      </c>
      <c r="AA79">
        <v>1.45</v>
      </c>
      <c r="AB79">
        <v>0.02</v>
      </c>
      <c r="AW79">
        <v>509</v>
      </c>
      <c r="AX79">
        <v>30</v>
      </c>
      <c r="AY79">
        <v>861</v>
      </c>
      <c r="AZ79">
        <v>30</v>
      </c>
      <c r="BA79">
        <v>322</v>
      </c>
      <c r="BB79">
        <v>10</v>
      </c>
    </row>
    <row r="80" spans="1:54" x14ac:dyDescent="0.25">
      <c r="A80">
        <v>844</v>
      </c>
      <c r="B80" t="s">
        <v>760</v>
      </c>
      <c r="C80">
        <v>53.71</v>
      </c>
      <c r="D80">
        <v>0.64</v>
      </c>
      <c r="E80">
        <v>1.28</v>
      </c>
      <c r="F80">
        <v>0.05</v>
      </c>
      <c r="G80">
        <v>9.58</v>
      </c>
      <c r="H80">
        <v>0.28999999999999998</v>
      </c>
      <c r="I80">
        <v>0.36</v>
      </c>
      <c r="J80">
        <v>0.01</v>
      </c>
      <c r="K80">
        <v>18.670000000000002</v>
      </c>
      <c r="L80">
        <v>0.2</v>
      </c>
      <c r="M80">
        <v>0.16</v>
      </c>
      <c r="N80">
        <v>0.02</v>
      </c>
      <c r="O80">
        <v>3</v>
      </c>
      <c r="P80">
        <v>0.08</v>
      </c>
      <c r="Q80">
        <v>2.88</v>
      </c>
      <c r="R80">
        <v>0.04</v>
      </c>
      <c r="S80">
        <v>3.66</v>
      </c>
      <c r="T80">
        <v>0.14000000000000001</v>
      </c>
      <c r="U80">
        <v>1.01</v>
      </c>
      <c r="V80">
        <v>0.04</v>
      </c>
      <c r="W80">
        <v>2.5099999999999998</v>
      </c>
      <c r="X80">
        <v>0.14000000000000001</v>
      </c>
      <c r="Y80">
        <v>2.2200000000000002</v>
      </c>
      <c r="Z80">
        <v>0.05</v>
      </c>
      <c r="AA80">
        <v>0.7</v>
      </c>
      <c r="AB80">
        <v>0.02</v>
      </c>
      <c r="AW80">
        <v>395</v>
      </c>
      <c r="AX80">
        <v>20</v>
      </c>
      <c r="AY80">
        <v>690</v>
      </c>
      <c r="AZ80">
        <v>24</v>
      </c>
      <c r="BA80">
        <v>357</v>
      </c>
      <c r="BB80">
        <v>15</v>
      </c>
    </row>
    <row r="81" spans="1:54" x14ac:dyDescent="0.25">
      <c r="A81">
        <v>853</v>
      </c>
      <c r="B81" t="s">
        <v>761</v>
      </c>
      <c r="C81">
        <v>42.84</v>
      </c>
      <c r="D81">
        <v>0.54</v>
      </c>
      <c r="E81">
        <v>1.04</v>
      </c>
      <c r="F81">
        <v>0.03</v>
      </c>
      <c r="G81">
        <v>9.52</v>
      </c>
      <c r="H81">
        <v>0.28999999999999998</v>
      </c>
      <c r="I81">
        <v>0.17</v>
      </c>
      <c r="J81">
        <v>0.01</v>
      </c>
      <c r="K81">
        <v>19.170000000000002</v>
      </c>
      <c r="L81">
        <v>0.2</v>
      </c>
      <c r="M81">
        <v>0.42</v>
      </c>
      <c r="N81">
        <v>0.02</v>
      </c>
      <c r="O81">
        <v>6.66</v>
      </c>
      <c r="P81">
        <v>0.17</v>
      </c>
      <c r="Q81">
        <v>8.75</v>
      </c>
      <c r="R81">
        <v>0.1</v>
      </c>
      <c r="S81">
        <v>3.02</v>
      </c>
      <c r="T81">
        <v>0.14000000000000001</v>
      </c>
      <c r="U81">
        <v>0.46</v>
      </c>
      <c r="V81">
        <v>0.02</v>
      </c>
      <c r="W81">
        <v>1.06</v>
      </c>
      <c r="X81">
        <v>7.0000000000000007E-2</v>
      </c>
      <c r="Y81">
        <v>4.58</v>
      </c>
      <c r="Z81">
        <v>0.08</v>
      </c>
      <c r="AA81">
        <v>2.0099999999999998</v>
      </c>
      <c r="AB81">
        <v>0.03</v>
      </c>
      <c r="AW81">
        <v>494</v>
      </c>
      <c r="AX81">
        <v>24</v>
      </c>
      <c r="AY81">
        <v>925</v>
      </c>
      <c r="AZ81">
        <v>30</v>
      </c>
      <c r="BA81">
        <v>653</v>
      </c>
      <c r="BB81">
        <v>20</v>
      </c>
    </row>
    <row r="82" spans="1:54" x14ac:dyDescent="0.25">
      <c r="A82">
        <v>871</v>
      </c>
      <c r="B82" t="s">
        <v>762</v>
      </c>
      <c r="C82">
        <v>50.24</v>
      </c>
      <c r="D82">
        <v>0.54</v>
      </c>
      <c r="E82">
        <v>1.07</v>
      </c>
      <c r="F82">
        <v>0.03</v>
      </c>
      <c r="G82">
        <v>12.92</v>
      </c>
      <c r="H82">
        <v>0.28999999999999998</v>
      </c>
      <c r="I82">
        <v>0.41</v>
      </c>
      <c r="J82">
        <v>0.01</v>
      </c>
      <c r="K82">
        <v>13.79</v>
      </c>
      <c r="L82">
        <v>0.2</v>
      </c>
      <c r="M82">
        <v>0.33</v>
      </c>
      <c r="N82">
        <v>0.02</v>
      </c>
      <c r="O82">
        <v>4.53</v>
      </c>
      <c r="P82">
        <v>0.17</v>
      </c>
      <c r="Q82">
        <v>4.1900000000000004</v>
      </c>
      <c r="R82">
        <v>0.04</v>
      </c>
      <c r="S82">
        <v>2.78</v>
      </c>
      <c r="T82">
        <v>0.14000000000000001</v>
      </c>
      <c r="U82">
        <v>0.66</v>
      </c>
      <c r="V82">
        <v>0.02</v>
      </c>
      <c r="W82">
        <v>1.51</v>
      </c>
      <c r="X82">
        <v>0.09</v>
      </c>
      <c r="Y82">
        <v>6.76</v>
      </c>
      <c r="Z82">
        <v>0.08</v>
      </c>
      <c r="AA82">
        <v>0.43</v>
      </c>
      <c r="AB82">
        <v>0.01</v>
      </c>
      <c r="AW82">
        <v>945</v>
      </c>
      <c r="AX82">
        <v>49</v>
      </c>
      <c r="AY82">
        <v>1702</v>
      </c>
      <c r="AZ82">
        <v>54</v>
      </c>
      <c r="BA82">
        <v>38</v>
      </c>
      <c r="BB82">
        <v>5</v>
      </c>
    </row>
    <row r="83" spans="1:54" x14ac:dyDescent="0.25">
      <c r="A83">
        <v>880</v>
      </c>
      <c r="B83" t="s">
        <v>763</v>
      </c>
      <c r="C83">
        <v>50.87</v>
      </c>
      <c r="D83">
        <v>0.54</v>
      </c>
      <c r="E83">
        <v>1.08</v>
      </c>
      <c r="F83">
        <v>0.03</v>
      </c>
      <c r="G83">
        <v>11.59</v>
      </c>
      <c r="H83">
        <v>0.28999999999999998</v>
      </c>
      <c r="I83">
        <v>0.34</v>
      </c>
      <c r="J83">
        <v>0.01</v>
      </c>
      <c r="K83">
        <v>13.21</v>
      </c>
      <c r="L83">
        <v>0.2</v>
      </c>
      <c r="M83">
        <v>0.35</v>
      </c>
      <c r="N83">
        <v>0.02</v>
      </c>
      <c r="O83">
        <v>4.96</v>
      </c>
      <c r="P83">
        <v>0.17</v>
      </c>
      <c r="Q83">
        <v>4.34</v>
      </c>
      <c r="R83">
        <v>0.06</v>
      </c>
      <c r="S83">
        <v>2.74</v>
      </c>
      <c r="T83">
        <v>0.14000000000000001</v>
      </c>
      <c r="U83">
        <v>0.69</v>
      </c>
      <c r="V83">
        <v>0.02</v>
      </c>
      <c r="W83">
        <v>1.45</v>
      </c>
      <c r="X83">
        <v>0.09</v>
      </c>
      <c r="Y83">
        <v>7.11</v>
      </c>
      <c r="Z83">
        <v>0.08</v>
      </c>
      <c r="AA83">
        <v>0.88</v>
      </c>
      <c r="AB83">
        <v>0.02</v>
      </c>
      <c r="AW83">
        <v>795</v>
      </c>
      <c r="AX83">
        <v>40</v>
      </c>
      <c r="AY83">
        <v>2131</v>
      </c>
      <c r="AZ83">
        <v>65</v>
      </c>
      <c r="BA83">
        <v>70</v>
      </c>
      <c r="BB83">
        <v>5</v>
      </c>
    </row>
    <row r="84" spans="1:54" x14ac:dyDescent="0.25">
      <c r="A84">
        <v>881</v>
      </c>
      <c r="B84" t="s">
        <v>764</v>
      </c>
      <c r="C84">
        <v>50.63</v>
      </c>
      <c r="D84">
        <v>0.54</v>
      </c>
      <c r="E84">
        <v>1.2</v>
      </c>
      <c r="F84">
        <v>0.05</v>
      </c>
      <c r="G84">
        <v>12.33</v>
      </c>
      <c r="H84">
        <v>0.28999999999999998</v>
      </c>
      <c r="I84">
        <v>0.41</v>
      </c>
      <c r="J84">
        <v>0.01</v>
      </c>
      <c r="K84">
        <v>15.08</v>
      </c>
      <c r="L84">
        <v>0.2</v>
      </c>
      <c r="M84">
        <v>0.38</v>
      </c>
      <c r="N84">
        <v>0.02</v>
      </c>
      <c r="O84">
        <v>3.87</v>
      </c>
      <c r="P84">
        <v>0.08</v>
      </c>
      <c r="Q84">
        <v>4.47</v>
      </c>
      <c r="R84">
        <v>0.06</v>
      </c>
      <c r="S84">
        <v>3.06</v>
      </c>
      <c r="T84">
        <v>0.14000000000000001</v>
      </c>
      <c r="U84">
        <v>0.74</v>
      </c>
      <c r="V84">
        <v>0.02</v>
      </c>
      <c r="W84">
        <v>1.48</v>
      </c>
      <c r="X84">
        <v>0.09</v>
      </c>
      <c r="Y84">
        <v>5.01</v>
      </c>
      <c r="Z84">
        <v>0.1</v>
      </c>
      <c r="AA84">
        <v>0.77</v>
      </c>
      <c r="AB84">
        <v>0.03</v>
      </c>
      <c r="AW84">
        <v>854</v>
      </c>
      <c r="AX84">
        <v>44</v>
      </c>
      <c r="AY84">
        <v>2471</v>
      </c>
      <c r="AZ84">
        <v>74</v>
      </c>
      <c r="BA84">
        <v>65</v>
      </c>
      <c r="BB84">
        <v>5</v>
      </c>
    </row>
    <row r="85" spans="1:54" x14ac:dyDescent="0.25">
      <c r="A85">
        <v>884</v>
      </c>
      <c r="B85" t="s">
        <v>765</v>
      </c>
      <c r="C85">
        <v>51.29</v>
      </c>
      <c r="D85">
        <v>0.54</v>
      </c>
      <c r="E85">
        <v>1.18</v>
      </c>
      <c r="F85">
        <v>0.05</v>
      </c>
      <c r="G85">
        <v>11.88</v>
      </c>
      <c r="H85">
        <v>0.28999999999999998</v>
      </c>
      <c r="I85">
        <v>0.37</v>
      </c>
      <c r="J85">
        <v>0.01</v>
      </c>
      <c r="K85">
        <v>14.59</v>
      </c>
      <c r="L85">
        <v>0.2</v>
      </c>
      <c r="M85">
        <v>0.4</v>
      </c>
      <c r="N85">
        <v>0.02</v>
      </c>
      <c r="O85">
        <v>4.47</v>
      </c>
      <c r="P85">
        <v>0.17</v>
      </c>
      <c r="Q85">
        <v>4.5199999999999996</v>
      </c>
      <c r="R85">
        <v>0.06</v>
      </c>
      <c r="S85">
        <v>2.99</v>
      </c>
      <c r="T85">
        <v>0.14000000000000001</v>
      </c>
      <c r="U85">
        <v>0.63</v>
      </c>
      <c r="V85">
        <v>0.02</v>
      </c>
      <c r="W85">
        <v>1.42</v>
      </c>
      <c r="X85">
        <v>0.09</v>
      </c>
      <c r="Y85">
        <v>5.32</v>
      </c>
      <c r="Z85">
        <v>0.08</v>
      </c>
      <c r="AA85">
        <v>0.53</v>
      </c>
      <c r="AB85">
        <v>0.01</v>
      </c>
      <c r="AW85">
        <v>852</v>
      </c>
      <c r="AX85">
        <v>44</v>
      </c>
      <c r="AY85">
        <v>2197</v>
      </c>
      <c r="AZ85">
        <v>70</v>
      </c>
      <c r="BA85">
        <v>49</v>
      </c>
      <c r="BB85">
        <v>5</v>
      </c>
    </row>
    <row r="86" spans="1:54" x14ac:dyDescent="0.25">
      <c r="A86">
        <v>888</v>
      </c>
      <c r="B86" t="s">
        <v>766</v>
      </c>
      <c r="C86">
        <v>49.92</v>
      </c>
      <c r="D86">
        <v>0.54</v>
      </c>
      <c r="E86">
        <v>1.1000000000000001</v>
      </c>
      <c r="F86">
        <v>0.03</v>
      </c>
      <c r="G86">
        <v>11.49</v>
      </c>
      <c r="H86">
        <v>0.28999999999999998</v>
      </c>
      <c r="I86">
        <v>0.36</v>
      </c>
      <c r="J86">
        <v>0.01</v>
      </c>
      <c r="K86">
        <v>15.48</v>
      </c>
      <c r="L86">
        <v>0.2</v>
      </c>
      <c r="M86">
        <v>0.38</v>
      </c>
      <c r="N86">
        <v>0.02</v>
      </c>
      <c r="O86">
        <v>4.6900000000000004</v>
      </c>
      <c r="P86">
        <v>0.17</v>
      </c>
      <c r="Q86">
        <v>4.45</v>
      </c>
      <c r="R86">
        <v>0.06</v>
      </c>
      <c r="S86">
        <v>3</v>
      </c>
      <c r="T86">
        <v>0.14000000000000001</v>
      </c>
      <c r="U86">
        <v>0.73</v>
      </c>
      <c r="V86">
        <v>0.02</v>
      </c>
      <c r="W86">
        <v>1.28</v>
      </c>
      <c r="X86">
        <v>7.0000000000000007E-2</v>
      </c>
      <c r="Y86">
        <v>6.19</v>
      </c>
      <c r="Z86">
        <v>0.08</v>
      </c>
      <c r="AA86">
        <v>0.46</v>
      </c>
      <c r="AB86">
        <v>0.02</v>
      </c>
      <c r="AW86">
        <v>898</v>
      </c>
      <c r="AX86">
        <v>44</v>
      </c>
      <c r="AY86">
        <v>1972</v>
      </c>
      <c r="AZ86">
        <v>60</v>
      </c>
      <c r="BA86">
        <v>57</v>
      </c>
      <c r="BB86">
        <v>5</v>
      </c>
    </row>
    <row r="87" spans="1:54" x14ac:dyDescent="0.25">
      <c r="A87">
        <v>889</v>
      </c>
      <c r="B87" t="s">
        <v>767</v>
      </c>
      <c r="C87">
        <v>40.78</v>
      </c>
      <c r="D87">
        <v>0.43</v>
      </c>
      <c r="E87">
        <v>0.95</v>
      </c>
      <c r="F87">
        <v>0.03</v>
      </c>
      <c r="G87">
        <v>8.99</v>
      </c>
      <c r="H87">
        <v>0.19</v>
      </c>
      <c r="I87">
        <v>0.37</v>
      </c>
      <c r="J87">
        <v>0.01</v>
      </c>
      <c r="K87">
        <v>12.24</v>
      </c>
      <c r="L87">
        <v>0.13</v>
      </c>
      <c r="M87">
        <v>0.28000000000000003</v>
      </c>
      <c r="N87">
        <v>0.02</v>
      </c>
      <c r="O87">
        <v>6.06</v>
      </c>
      <c r="P87">
        <v>0.17</v>
      </c>
      <c r="Q87">
        <v>9.1999999999999993</v>
      </c>
      <c r="R87">
        <v>0.1</v>
      </c>
      <c r="S87">
        <v>2.42</v>
      </c>
      <c r="T87">
        <v>0.14000000000000001</v>
      </c>
      <c r="U87">
        <v>0.47</v>
      </c>
      <c r="V87">
        <v>0.02</v>
      </c>
      <c r="W87">
        <v>1.21</v>
      </c>
      <c r="X87">
        <v>7.0000000000000007E-2</v>
      </c>
      <c r="Y87">
        <v>15.78</v>
      </c>
      <c r="Z87">
        <v>0.17</v>
      </c>
      <c r="AA87">
        <v>0.93</v>
      </c>
      <c r="AB87">
        <v>0.02</v>
      </c>
      <c r="AW87">
        <v>777</v>
      </c>
      <c r="AX87">
        <v>40</v>
      </c>
      <c r="AY87">
        <v>1544</v>
      </c>
      <c r="AZ87">
        <v>49</v>
      </c>
      <c r="BA87">
        <v>93</v>
      </c>
      <c r="BB87">
        <v>5</v>
      </c>
    </row>
    <row r="88" spans="1:54" x14ac:dyDescent="0.25">
      <c r="A88">
        <v>894</v>
      </c>
      <c r="B88" t="s">
        <v>768</v>
      </c>
      <c r="C88">
        <v>49.48</v>
      </c>
      <c r="D88">
        <v>0.54</v>
      </c>
      <c r="E88">
        <v>1.19</v>
      </c>
      <c r="F88">
        <v>0.05</v>
      </c>
      <c r="G88">
        <v>11.43</v>
      </c>
      <c r="H88">
        <v>0.28999999999999998</v>
      </c>
      <c r="I88">
        <v>0.37</v>
      </c>
      <c r="J88">
        <v>0.01</v>
      </c>
      <c r="K88">
        <v>16.11</v>
      </c>
      <c r="L88">
        <v>0.2</v>
      </c>
      <c r="M88">
        <v>0.4</v>
      </c>
      <c r="N88">
        <v>0.02</v>
      </c>
      <c r="O88">
        <v>4.55</v>
      </c>
      <c r="P88">
        <v>0.17</v>
      </c>
      <c r="Q88">
        <v>4.33</v>
      </c>
      <c r="R88">
        <v>0.06</v>
      </c>
      <c r="S88">
        <v>3.01</v>
      </c>
      <c r="T88">
        <v>0.14000000000000001</v>
      </c>
      <c r="U88">
        <v>0.73</v>
      </c>
      <c r="V88">
        <v>0.02</v>
      </c>
      <c r="W88">
        <v>1.29</v>
      </c>
      <c r="X88">
        <v>7.0000000000000007E-2</v>
      </c>
      <c r="Y88">
        <v>6.27</v>
      </c>
      <c r="Z88">
        <v>0.08</v>
      </c>
      <c r="AA88">
        <v>0.43</v>
      </c>
      <c r="AB88">
        <v>0.02</v>
      </c>
      <c r="AW88">
        <v>1032</v>
      </c>
      <c r="AX88">
        <v>54</v>
      </c>
      <c r="AY88">
        <v>2204</v>
      </c>
      <c r="AZ88">
        <v>70</v>
      </c>
      <c r="BA88">
        <v>65</v>
      </c>
      <c r="BB88">
        <v>5</v>
      </c>
    </row>
    <row r="89" spans="1:54" x14ac:dyDescent="0.25">
      <c r="A89">
        <v>905</v>
      </c>
      <c r="B89" t="s">
        <v>769</v>
      </c>
      <c r="C89">
        <v>54.07</v>
      </c>
      <c r="D89">
        <v>0.64</v>
      </c>
      <c r="E89">
        <v>1.1399999999999999</v>
      </c>
      <c r="F89">
        <v>0.05</v>
      </c>
      <c r="G89">
        <v>9.89</v>
      </c>
      <c r="H89">
        <v>0.28999999999999998</v>
      </c>
      <c r="I89">
        <v>0.34</v>
      </c>
      <c r="J89">
        <v>0.01</v>
      </c>
      <c r="K89">
        <v>18.190000000000001</v>
      </c>
      <c r="L89">
        <v>0.2</v>
      </c>
      <c r="M89">
        <v>0.18</v>
      </c>
      <c r="N89">
        <v>0.02</v>
      </c>
      <c r="O89">
        <v>3.4</v>
      </c>
      <c r="P89">
        <v>0.08</v>
      </c>
      <c r="Q89">
        <v>3.81</v>
      </c>
      <c r="R89">
        <v>0.04</v>
      </c>
      <c r="S89">
        <v>3.18</v>
      </c>
      <c r="T89">
        <v>0.14000000000000001</v>
      </c>
      <c r="U89">
        <v>0.93</v>
      </c>
      <c r="V89">
        <v>0.04</v>
      </c>
      <c r="W89">
        <v>1.52</v>
      </c>
      <c r="X89">
        <v>0.09</v>
      </c>
      <c r="Y89">
        <v>2.8</v>
      </c>
      <c r="Z89">
        <v>0.05</v>
      </c>
      <c r="AA89">
        <v>0.36</v>
      </c>
      <c r="AB89">
        <v>0.01</v>
      </c>
      <c r="AW89">
        <v>282</v>
      </c>
      <c r="AX89">
        <v>15</v>
      </c>
      <c r="AY89">
        <v>973</v>
      </c>
      <c r="AZ89">
        <v>30</v>
      </c>
      <c r="BA89">
        <v>121</v>
      </c>
      <c r="BB89">
        <v>5</v>
      </c>
    </row>
    <row r="90" spans="1:54" x14ac:dyDescent="0.25">
      <c r="A90">
        <v>922</v>
      </c>
      <c r="B90" t="s">
        <v>770</v>
      </c>
      <c r="C90">
        <v>51.87</v>
      </c>
      <c r="D90">
        <v>0.54</v>
      </c>
      <c r="E90">
        <v>1.28</v>
      </c>
      <c r="F90">
        <v>0.05</v>
      </c>
      <c r="G90">
        <v>11.06</v>
      </c>
      <c r="H90">
        <v>0.28999999999999998</v>
      </c>
      <c r="I90">
        <v>0.4</v>
      </c>
      <c r="J90">
        <v>0.01</v>
      </c>
      <c r="K90">
        <v>19.850000000000001</v>
      </c>
      <c r="L90">
        <v>0.26</v>
      </c>
      <c r="M90">
        <v>0.25</v>
      </c>
      <c r="N90">
        <v>0.02</v>
      </c>
      <c r="O90">
        <v>3.04</v>
      </c>
      <c r="P90">
        <v>0.08</v>
      </c>
      <c r="Q90">
        <v>4.03</v>
      </c>
      <c r="R90">
        <v>0.04</v>
      </c>
      <c r="S90">
        <v>3.56</v>
      </c>
      <c r="T90">
        <v>0.14000000000000001</v>
      </c>
      <c r="U90">
        <v>0.97</v>
      </c>
      <c r="V90">
        <v>0.04</v>
      </c>
      <c r="W90">
        <v>1.27</v>
      </c>
      <c r="X90">
        <v>7.0000000000000007E-2</v>
      </c>
      <c r="Y90">
        <v>1.85</v>
      </c>
      <c r="Z90">
        <v>0.05</v>
      </c>
      <c r="AA90">
        <v>0.34</v>
      </c>
      <c r="AB90">
        <v>0.01</v>
      </c>
      <c r="AW90">
        <v>423</v>
      </c>
      <c r="AX90">
        <v>24</v>
      </c>
      <c r="AY90">
        <v>1212</v>
      </c>
      <c r="AZ90">
        <v>40</v>
      </c>
      <c r="BA90">
        <v>93</v>
      </c>
      <c r="BB90">
        <v>5</v>
      </c>
    </row>
    <row r="91" spans="1:54" x14ac:dyDescent="0.25">
      <c r="A91">
        <v>930</v>
      </c>
      <c r="B91" t="s">
        <v>771</v>
      </c>
      <c r="C91">
        <v>30.93</v>
      </c>
      <c r="D91">
        <v>0.32</v>
      </c>
      <c r="E91">
        <v>0.52</v>
      </c>
      <c r="F91">
        <v>0.02</v>
      </c>
      <c r="G91">
        <v>5.29</v>
      </c>
      <c r="H91">
        <v>0.19</v>
      </c>
      <c r="I91">
        <v>0.19</v>
      </c>
      <c r="J91">
        <v>0.01</v>
      </c>
      <c r="K91">
        <v>14.61</v>
      </c>
      <c r="L91">
        <v>0.2</v>
      </c>
      <c r="M91">
        <v>0.9</v>
      </c>
      <c r="N91">
        <v>0.02</v>
      </c>
      <c r="O91">
        <v>5.65</v>
      </c>
      <c r="P91">
        <v>0.17</v>
      </c>
      <c r="Q91">
        <v>25.26</v>
      </c>
      <c r="R91">
        <v>0.27</v>
      </c>
      <c r="S91">
        <v>1.5</v>
      </c>
      <c r="T91">
        <v>7.0000000000000007E-2</v>
      </c>
      <c r="U91">
        <v>0.09</v>
      </c>
      <c r="V91">
        <v>0.01</v>
      </c>
      <c r="W91">
        <v>0.88</v>
      </c>
      <c r="X91">
        <v>0.05</v>
      </c>
      <c r="Y91">
        <v>12.18</v>
      </c>
      <c r="Z91">
        <v>0.12</v>
      </c>
      <c r="AA91">
        <v>1.66</v>
      </c>
      <c r="AB91">
        <v>0.03</v>
      </c>
      <c r="AW91">
        <v>559</v>
      </c>
      <c r="AX91">
        <v>30</v>
      </c>
      <c r="AY91">
        <v>1938</v>
      </c>
      <c r="AZ91">
        <v>60</v>
      </c>
      <c r="BA91">
        <v>188</v>
      </c>
      <c r="BB91">
        <v>10</v>
      </c>
    </row>
    <row r="92" spans="1:54" x14ac:dyDescent="0.25">
      <c r="A92">
        <v>935</v>
      </c>
      <c r="B92" t="s">
        <v>772</v>
      </c>
      <c r="C92">
        <v>14.41</v>
      </c>
      <c r="D92">
        <v>0.21</v>
      </c>
      <c r="E92">
        <v>0.18</v>
      </c>
      <c r="F92">
        <v>0.02</v>
      </c>
      <c r="G92">
        <v>2.92</v>
      </c>
      <c r="H92">
        <v>0.1</v>
      </c>
      <c r="I92">
        <v>0.11</v>
      </c>
      <c r="J92">
        <v>0.01</v>
      </c>
      <c r="K92">
        <v>4.91</v>
      </c>
      <c r="L92">
        <v>7.0000000000000007E-2</v>
      </c>
      <c r="M92">
        <v>0.1</v>
      </c>
      <c r="N92">
        <v>0.02</v>
      </c>
      <c r="O92">
        <v>3.95</v>
      </c>
      <c r="P92">
        <v>0.08</v>
      </c>
      <c r="Q92">
        <v>29.71</v>
      </c>
      <c r="R92">
        <v>0.31</v>
      </c>
      <c r="S92">
        <v>1.33</v>
      </c>
      <c r="T92">
        <v>7.0000000000000007E-2</v>
      </c>
      <c r="U92">
        <v>0.11</v>
      </c>
      <c r="V92">
        <v>0.01</v>
      </c>
      <c r="W92">
        <v>0.64</v>
      </c>
      <c r="X92">
        <v>0.05</v>
      </c>
      <c r="Y92">
        <v>40.78</v>
      </c>
      <c r="Z92">
        <v>0.43</v>
      </c>
      <c r="AA92">
        <v>0.72</v>
      </c>
      <c r="AB92">
        <v>0.02</v>
      </c>
      <c r="AW92">
        <v>142</v>
      </c>
      <c r="AX92">
        <v>10</v>
      </c>
      <c r="AY92">
        <v>520</v>
      </c>
      <c r="AZ92">
        <v>20</v>
      </c>
      <c r="BA92">
        <v>76</v>
      </c>
      <c r="BB92">
        <v>5</v>
      </c>
    </row>
    <row r="93" spans="1:54" x14ac:dyDescent="0.25">
      <c r="A93">
        <v>936</v>
      </c>
      <c r="B93" t="s">
        <v>773</v>
      </c>
      <c r="C93">
        <v>48.99</v>
      </c>
      <c r="D93">
        <v>0.54</v>
      </c>
      <c r="E93">
        <v>1.1599999999999999</v>
      </c>
      <c r="F93">
        <v>0.05</v>
      </c>
      <c r="G93">
        <v>9.34</v>
      </c>
      <c r="H93">
        <v>0.19</v>
      </c>
      <c r="I93">
        <v>0.34</v>
      </c>
      <c r="J93">
        <v>0.01</v>
      </c>
      <c r="K93">
        <v>16.23</v>
      </c>
      <c r="L93">
        <v>0.2</v>
      </c>
      <c r="M93">
        <v>0.22</v>
      </c>
      <c r="N93">
        <v>0.02</v>
      </c>
      <c r="O93">
        <v>5.75</v>
      </c>
      <c r="P93">
        <v>0.17</v>
      </c>
      <c r="Q93">
        <v>5.34</v>
      </c>
      <c r="R93">
        <v>0.06</v>
      </c>
      <c r="S93">
        <v>2.95</v>
      </c>
      <c r="T93">
        <v>0.14000000000000001</v>
      </c>
      <c r="U93">
        <v>0.77</v>
      </c>
      <c r="V93">
        <v>0.02</v>
      </c>
      <c r="W93">
        <v>1.33</v>
      </c>
      <c r="X93">
        <v>7.0000000000000007E-2</v>
      </c>
      <c r="Y93">
        <v>6.71</v>
      </c>
      <c r="Z93">
        <v>0.1</v>
      </c>
      <c r="AA93">
        <v>0.64</v>
      </c>
      <c r="AB93">
        <v>0.02</v>
      </c>
      <c r="AW93">
        <v>509</v>
      </c>
      <c r="AX93">
        <v>30</v>
      </c>
      <c r="AY93">
        <v>672</v>
      </c>
      <c r="AZ93">
        <v>24</v>
      </c>
      <c r="BA93">
        <v>258</v>
      </c>
      <c r="BB93">
        <v>10</v>
      </c>
    </row>
    <row r="94" spans="1:54" x14ac:dyDescent="0.25">
      <c r="A94">
        <v>937</v>
      </c>
      <c r="B94" t="s">
        <v>774</v>
      </c>
      <c r="C94">
        <v>28.37</v>
      </c>
      <c r="D94">
        <v>0.32</v>
      </c>
      <c r="E94">
        <v>0.49</v>
      </c>
      <c r="F94">
        <v>0.02</v>
      </c>
      <c r="G94">
        <v>5</v>
      </c>
      <c r="H94">
        <v>0.19</v>
      </c>
      <c r="I94">
        <v>0.16</v>
      </c>
      <c r="J94">
        <v>0.01</v>
      </c>
      <c r="K94">
        <v>14.33</v>
      </c>
      <c r="L94">
        <v>0.2</v>
      </c>
      <c r="M94">
        <v>0.93</v>
      </c>
      <c r="N94">
        <v>0.02</v>
      </c>
      <c r="O94">
        <v>5.75</v>
      </c>
      <c r="P94">
        <v>0.17</v>
      </c>
      <c r="Q94">
        <v>29.28</v>
      </c>
      <c r="R94">
        <v>0.28999999999999998</v>
      </c>
      <c r="S94">
        <v>1.51</v>
      </c>
      <c r="T94">
        <v>7.0000000000000007E-2</v>
      </c>
      <c r="U94">
        <v>0.11</v>
      </c>
      <c r="V94">
        <v>0.01</v>
      </c>
      <c r="W94">
        <v>0.73</v>
      </c>
      <c r="X94">
        <v>0.05</v>
      </c>
      <c r="Y94">
        <v>11.27</v>
      </c>
      <c r="Z94">
        <v>0.12</v>
      </c>
      <c r="AA94">
        <v>1.68</v>
      </c>
      <c r="AB94">
        <v>0.03</v>
      </c>
      <c r="AW94">
        <v>467</v>
      </c>
      <c r="AX94">
        <v>24</v>
      </c>
      <c r="AY94">
        <v>2194</v>
      </c>
      <c r="AZ94">
        <v>70</v>
      </c>
      <c r="BA94">
        <v>131</v>
      </c>
      <c r="BB94">
        <v>5</v>
      </c>
    </row>
    <row r="95" spans="1:54" x14ac:dyDescent="0.25">
      <c r="A95">
        <v>942</v>
      </c>
      <c r="B95" t="s">
        <v>775</v>
      </c>
      <c r="C95">
        <v>49.78</v>
      </c>
      <c r="D95">
        <v>0.54</v>
      </c>
      <c r="E95">
        <v>0.99</v>
      </c>
      <c r="F95">
        <v>0.03</v>
      </c>
      <c r="G95">
        <v>11.21</v>
      </c>
      <c r="H95">
        <v>0.28999999999999998</v>
      </c>
      <c r="I95">
        <v>0.28000000000000003</v>
      </c>
      <c r="J95">
        <v>0.01</v>
      </c>
      <c r="K95">
        <v>16.989999999999998</v>
      </c>
      <c r="L95">
        <v>0.2</v>
      </c>
      <c r="M95">
        <v>0.28999999999999998</v>
      </c>
      <c r="N95">
        <v>0.02</v>
      </c>
      <c r="O95">
        <v>3.95</v>
      </c>
      <c r="P95">
        <v>0.08</v>
      </c>
      <c r="Q95">
        <v>5.71</v>
      </c>
      <c r="R95">
        <v>7.0000000000000007E-2</v>
      </c>
      <c r="S95">
        <v>4.03</v>
      </c>
      <c r="T95">
        <v>0.14000000000000001</v>
      </c>
      <c r="U95">
        <v>2.83</v>
      </c>
      <c r="V95">
        <v>0.1</v>
      </c>
      <c r="W95">
        <v>0.76</v>
      </c>
      <c r="X95">
        <v>0.05</v>
      </c>
      <c r="Y95">
        <v>2.29</v>
      </c>
      <c r="Z95">
        <v>0.05</v>
      </c>
      <c r="AA95">
        <v>0.7</v>
      </c>
      <c r="AB95">
        <v>0.02</v>
      </c>
      <c r="AW95">
        <v>628</v>
      </c>
      <c r="AX95">
        <v>35</v>
      </c>
      <c r="AY95">
        <v>608</v>
      </c>
      <c r="AZ95">
        <v>20</v>
      </c>
      <c r="BA95">
        <v>76</v>
      </c>
      <c r="BB95">
        <v>5</v>
      </c>
    </row>
    <row r="96" spans="1:54" x14ac:dyDescent="0.25">
      <c r="A96">
        <v>948</v>
      </c>
      <c r="B96" t="s">
        <v>776</v>
      </c>
      <c r="C96">
        <v>47.59</v>
      </c>
      <c r="D96">
        <v>0.54</v>
      </c>
      <c r="E96">
        <v>0.59</v>
      </c>
      <c r="F96">
        <v>0.03</v>
      </c>
      <c r="G96">
        <v>4.6399999999999997</v>
      </c>
      <c r="H96">
        <v>0.1</v>
      </c>
      <c r="I96">
        <v>0.63</v>
      </c>
      <c r="J96">
        <v>0.01</v>
      </c>
      <c r="K96">
        <v>23.42</v>
      </c>
      <c r="L96">
        <v>0.26</v>
      </c>
      <c r="M96">
        <v>0.16</v>
      </c>
      <c r="N96">
        <v>0.02</v>
      </c>
      <c r="O96">
        <v>4.8600000000000003</v>
      </c>
      <c r="P96">
        <v>0.17</v>
      </c>
      <c r="Q96">
        <v>2.87</v>
      </c>
      <c r="R96">
        <v>0.04</v>
      </c>
      <c r="S96">
        <v>1.9</v>
      </c>
      <c r="T96">
        <v>7.0000000000000007E-2</v>
      </c>
      <c r="U96">
        <v>1.17</v>
      </c>
      <c r="V96">
        <v>0.04</v>
      </c>
      <c r="W96">
        <v>2.72</v>
      </c>
      <c r="X96">
        <v>0.14000000000000001</v>
      </c>
      <c r="Y96">
        <v>7.72</v>
      </c>
      <c r="Z96">
        <v>0.1</v>
      </c>
      <c r="AA96">
        <v>1.43</v>
      </c>
      <c r="AB96">
        <v>0.02</v>
      </c>
      <c r="AW96">
        <v>309</v>
      </c>
      <c r="AX96">
        <v>20</v>
      </c>
      <c r="AY96">
        <v>430</v>
      </c>
      <c r="AZ96">
        <v>15</v>
      </c>
      <c r="BA96">
        <v>478</v>
      </c>
      <c r="BB96">
        <v>15</v>
      </c>
    </row>
    <row r="97" spans="1:54" x14ac:dyDescent="0.25">
      <c r="A97">
        <v>954</v>
      </c>
      <c r="B97" t="s">
        <v>777</v>
      </c>
      <c r="C97">
        <v>52.7</v>
      </c>
      <c r="D97">
        <v>0.54</v>
      </c>
      <c r="E97">
        <v>1.23</v>
      </c>
      <c r="F97">
        <v>0.05</v>
      </c>
      <c r="G97">
        <v>10.74</v>
      </c>
      <c r="H97">
        <v>0.28999999999999998</v>
      </c>
      <c r="I97">
        <v>0.36</v>
      </c>
      <c r="J97">
        <v>0.01</v>
      </c>
      <c r="K97">
        <v>18.68</v>
      </c>
      <c r="L97">
        <v>0.2</v>
      </c>
      <c r="M97">
        <v>0.25</v>
      </c>
      <c r="N97">
        <v>0.02</v>
      </c>
      <c r="O97">
        <v>2.93</v>
      </c>
      <c r="P97">
        <v>0.08</v>
      </c>
      <c r="Q97">
        <v>4.37</v>
      </c>
      <c r="R97">
        <v>0.06</v>
      </c>
      <c r="S97">
        <v>3.34</v>
      </c>
      <c r="T97">
        <v>0.14000000000000001</v>
      </c>
      <c r="U97">
        <v>0.98</v>
      </c>
      <c r="V97">
        <v>0.04</v>
      </c>
      <c r="W97">
        <v>1.33</v>
      </c>
      <c r="X97">
        <v>7.0000000000000007E-2</v>
      </c>
      <c r="Y97">
        <v>2.54</v>
      </c>
      <c r="Z97">
        <v>0.05</v>
      </c>
      <c r="AA97">
        <v>0.3</v>
      </c>
      <c r="AB97">
        <v>0.01</v>
      </c>
      <c r="AW97">
        <v>515</v>
      </c>
      <c r="AX97">
        <v>30</v>
      </c>
      <c r="AY97">
        <v>1231</v>
      </c>
      <c r="AZ97">
        <v>40</v>
      </c>
      <c r="BA97">
        <v>38</v>
      </c>
      <c r="BB97">
        <v>5</v>
      </c>
    </row>
    <row r="98" spans="1:54" x14ac:dyDescent="0.25">
      <c r="A98">
        <v>955</v>
      </c>
      <c r="B98" t="s">
        <v>778</v>
      </c>
      <c r="C98">
        <v>44.3</v>
      </c>
      <c r="D98">
        <v>0.54</v>
      </c>
      <c r="E98">
        <v>1.08</v>
      </c>
      <c r="F98">
        <v>0.03</v>
      </c>
      <c r="G98">
        <v>9.24</v>
      </c>
      <c r="H98">
        <v>0.19</v>
      </c>
      <c r="I98">
        <v>0.47</v>
      </c>
      <c r="J98">
        <v>0.01</v>
      </c>
      <c r="K98">
        <v>19.48</v>
      </c>
      <c r="L98">
        <v>0.26</v>
      </c>
      <c r="M98">
        <v>0.4</v>
      </c>
      <c r="N98">
        <v>0.02</v>
      </c>
      <c r="O98">
        <v>7.89</v>
      </c>
      <c r="P98">
        <v>0.17</v>
      </c>
      <c r="Q98">
        <v>6.46</v>
      </c>
      <c r="R98">
        <v>7.0000000000000007E-2</v>
      </c>
      <c r="S98">
        <v>2.86</v>
      </c>
      <c r="T98">
        <v>0.14000000000000001</v>
      </c>
      <c r="U98">
        <v>0.83</v>
      </c>
      <c r="V98">
        <v>0.04</v>
      </c>
      <c r="W98">
        <v>0.92</v>
      </c>
      <c r="X98">
        <v>7.0000000000000007E-2</v>
      </c>
      <c r="Y98">
        <v>5.2</v>
      </c>
      <c r="Z98">
        <v>0.08</v>
      </c>
      <c r="AA98">
        <v>0.74</v>
      </c>
      <c r="AB98">
        <v>0.02</v>
      </c>
      <c r="AW98">
        <v>524</v>
      </c>
      <c r="AX98">
        <v>30</v>
      </c>
      <c r="AY98">
        <v>419</v>
      </c>
      <c r="AZ98">
        <v>15</v>
      </c>
      <c r="BA98">
        <v>38</v>
      </c>
      <c r="BB98">
        <v>5</v>
      </c>
    </row>
    <row r="99" spans="1:54" x14ac:dyDescent="0.25">
      <c r="A99">
        <v>974</v>
      </c>
      <c r="B99" t="s">
        <v>779</v>
      </c>
      <c r="C99">
        <v>44.07</v>
      </c>
      <c r="D99">
        <v>0.54</v>
      </c>
      <c r="E99">
        <v>0.95</v>
      </c>
      <c r="F99">
        <v>0.03</v>
      </c>
      <c r="G99">
        <v>10.32</v>
      </c>
      <c r="H99">
        <v>0.28999999999999998</v>
      </c>
      <c r="I99">
        <v>0.32</v>
      </c>
      <c r="J99">
        <v>0.01</v>
      </c>
      <c r="K99">
        <v>18.95</v>
      </c>
      <c r="L99">
        <v>0.2</v>
      </c>
      <c r="M99">
        <v>0.5</v>
      </c>
      <c r="N99">
        <v>0.02</v>
      </c>
      <c r="O99">
        <v>8.1300000000000008</v>
      </c>
      <c r="P99">
        <v>0.17</v>
      </c>
      <c r="Q99">
        <v>6.08</v>
      </c>
      <c r="R99">
        <v>7.0000000000000007E-2</v>
      </c>
      <c r="S99">
        <v>2.89</v>
      </c>
      <c r="T99">
        <v>0.14000000000000001</v>
      </c>
      <c r="U99">
        <v>0.6</v>
      </c>
      <c r="V99">
        <v>0.02</v>
      </c>
      <c r="W99">
        <v>0.98</v>
      </c>
      <c r="X99">
        <v>7.0000000000000007E-2</v>
      </c>
      <c r="Y99">
        <v>4.87</v>
      </c>
      <c r="Z99">
        <v>0.08</v>
      </c>
      <c r="AA99">
        <v>1.2</v>
      </c>
      <c r="AB99">
        <v>0.02</v>
      </c>
      <c r="AW99">
        <v>403</v>
      </c>
      <c r="AX99">
        <v>24</v>
      </c>
      <c r="AY99">
        <v>640</v>
      </c>
      <c r="AZ99">
        <v>20</v>
      </c>
      <c r="BA99">
        <v>156</v>
      </c>
      <c r="BB99">
        <v>5</v>
      </c>
    </row>
    <row r="100" spans="1:54" x14ac:dyDescent="0.25">
      <c r="A100">
        <v>975</v>
      </c>
      <c r="B100" t="s">
        <v>780</v>
      </c>
      <c r="C100">
        <v>38.69</v>
      </c>
      <c r="D100">
        <v>0.43</v>
      </c>
      <c r="E100">
        <v>0.95</v>
      </c>
      <c r="F100">
        <v>0.03</v>
      </c>
      <c r="G100">
        <v>8.84</v>
      </c>
      <c r="H100">
        <v>0.19</v>
      </c>
      <c r="I100">
        <v>0.26</v>
      </c>
      <c r="J100">
        <v>0.01</v>
      </c>
      <c r="K100">
        <v>25.58</v>
      </c>
      <c r="L100">
        <v>0.26</v>
      </c>
      <c r="M100">
        <v>0.5</v>
      </c>
      <c r="N100">
        <v>0.02</v>
      </c>
      <c r="O100">
        <v>7.71</v>
      </c>
      <c r="P100">
        <v>0.17</v>
      </c>
      <c r="Q100">
        <v>5.09</v>
      </c>
      <c r="R100">
        <v>0.06</v>
      </c>
      <c r="S100">
        <v>2.5</v>
      </c>
      <c r="T100">
        <v>0.14000000000000001</v>
      </c>
      <c r="U100">
        <v>0.49</v>
      </c>
      <c r="V100">
        <v>0.02</v>
      </c>
      <c r="W100">
        <v>0.9</v>
      </c>
      <c r="X100">
        <v>0.05</v>
      </c>
      <c r="Y100">
        <v>6.62</v>
      </c>
      <c r="Z100">
        <v>0.08</v>
      </c>
      <c r="AA100">
        <v>1.71</v>
      </c>
      <c r="AB100">
        <v>0.03</v>
      </c>
      <c r="AW100">
        <v>471</v>
      </c>
      <c r="AX100">
        <v>24</v>
      </c>
      <c r="AY100">
        <v>842</v>
      </c>
      <c r="AZ100">
        <v>30</v>
      </c>
      <c r="BA100">
        <v>188</v>
      </c>
      <c r="BB100">
        <v>10</v>
      </c>
    </row>
    <row r="101" spans="1:54" x14ac:dyDescent="0.25">
      <c r="A101">
        <v>998</v>
      </c>
      <c r="B101" t="s">
        <v>781</v>
      </c>
      <c r="C101">
        <v>44.72</v>
      </c>
      <c r="D101">
        <v>0.54</v>
      </c>
      <c r="E101">
        <v>1.05</v>
      </c>
      <c r="F101">
        <v>0.03</v>
      </c>
      <c r="G101">
        <v>10.44</v>
      </c>
      <c r="H101">
        <v>0.28999999999999998</v>
      </c>
      <c r="I101">
        <v>0.7</v>
      </c>
      <c r="J101">
        <v>0.01</v>
      </c>
      <c r="K101">
        <v>15.84</v>
      </c>
      <c r="L101">
        <v>0.2</v>
      </c>
      <c r="M101">
        <v>0.35</v>
      </c>
      <c r="N101">
        <v>0.02</v>
      </c>
      <c r="O101">
        <v>8.41</v>
      </c>
      <c r="P101">
        <v>0.25</v>
      </c>
      <c r="Q101">
        <v>6.63</v>
      </c>
      <c r="R101">
        <v>7.0000000000000007E-2</v>
      </c>
      <c r="S101">
        <v>2.69</v>
      </c>
      <c r="T101">
        <v>0.14000000000000001</v>
      </c>
      <c r="U101">
        <v>0.44</v>
      </c>
      <c r="V101">
        <v>0.02</v>
      </c>
      <c r="W101">
        <v>0.94</v>
      </c>
      <c r="X101">
        <v>7.0000000000000007E-2</v>
      </c>
      <c r="Y101">
        <v>6.46</v>
      </c>
      <c r="Z101">
        <v>0.08</v>
      </c>
      <c r="AA101">
        <v>1.22</v>
      </c>
      <c r="AB101">
        <v>0.02</v>
      </c>
      <c r="AW101">
        <v>395</v>
      </c>
      <c r="AX101">
        <v>20</v>
      </c>
      <c r="AY101">
        <v>432</v>
      </c>
      <c r="AZ101">
        <v>15</v>
      </c>
      <c r="BA101">
        <v>76</v>
      </c>
      <c r="BB101">
        <v>5</v>
      </c>
    </row>
    <row r="102" spans="1:54" x14ac:dyDescent="0.25">
      <c r="A102">
        <v>999</v>
      </c>
      <c r="B102" t="s">
        <v>782</v>
      </c>
      <c r="C102">
        <v>62.99</v>
      </c>
      <c r="D102">
        <v>0.64</v>
      </c>
      <c r="E102">
        <v>1.55</v>
      </c>
      <c r="F102">
        <v>0.05</v>
      </c>
      <c r="G102">
        <v>7.71</v>
      </c>
      <c r="H102">
        <v>0.19</v>
      </c>
      <c r="I102">
        <v>0.08</v>
      </c>
      <c r="J102">
        <v>0.01</v>
      </c>
      <c r="K102">
        <v>6.62</v>
      </c>
      <c r="L102">
        <v>0.13</v>
      </c>
      <c r="M102">
        <v>0.09</v>
      </c>
      <c r="N102">
        <v>0.02</v>
      </c>
      <c r="O102">
        <v>4.32</v>
      </c>
      <c r="P102">
        <v>0.17</v>
      </c>
      <c r="Q102">
        <v>3.78</v>
      </c>
      <c r="R102">
        <v>0.04</v>
      </c>
      <c r="S102">
        <v>2.96</v>
      </c>
      <c r="T102">
        <v>0.14000000000000001</v>
      </c>
      <c r="U102">
        <v>0.97</v>
      </c>
      <c r="V102">
        <v>0.04</v>
      </c>
      <c r="W102">
        <v>2.39</v>
      </c>
      <c r="X102">
        <v>0.14000000000000001</v>
      </c>
      <c r="Y102">
        <v>5.47</v>
      </c>
      <c r="Z102">
        <v>0.08</v>
      </c>
      <c r="AA102">
        <v>0.8</v>
      </c>
      <c r="AB102">
        <v>0.02</v>
      </c>
      <c r="AW102">
        <v>115</v>
      </c>
      <c r="AX102">
        <v>10</v>
      </c>
      <c r="AY102">
        <v>119</v>
      </c>
      <c r="AZ102">
        <v>5</v>
      </c>
      <c r="BA102">
        <v>763</v>
      </c>
      <c r="BB102">
        <v>24</v>
      </c>
    </row>
    <row r="103" spans="1:54" x14ac:dyDescent="0.25">
      <c r="A103">
        <v>1028</v>
      </c>
      <c r="B103" t="s">
        <v>783</v>
      </c>
      <c r="C103">
        <v>53.13</v>
      </c>
      <c r="D103">
        <v>0.54</v>
      </c>
      <c r="E103">
        <v>1.0900000000000001</v>
      </c>
      <c r="F103">
        <v>0.03</v>
      </c>
      <c r="G103">
        <v>6.53</v>
      </c>
      <c r="H103">
        <v>0.19</v>
      </c>
      <c r="I103">
        <v>0.46</v>
      </c>
      <c r="J103">
        <v>0.01</v>
      </c>
      <c r="K103">
        <v>10.71</v>
      </c>
      <c r="L103">
        <v>0.13</v>
      </c>
      <c r="M103">
        <v>0.12</v>
      </c>
      <c r="N103">
        <v>0.02</v>
      </c>
      <c r="O103">
        <v>6.16</v>
      </c>
      <c r="P103">
        <v>0.17</v>
      </c>
      <c r="Q103">
        <v>5.55</v>
      </c>
      <c r="R103">
        <v>0.06</v>
      </c>
      <c r="S103">
        <v>2.34</v>
      </c>
      <c r="T103">
        <v>0.14000000000000001</v>
      </c>
      <c r="U103">
        <v>0.5</v>
      </c>
      <c r="V103">
        <v>0.02</v>
      </c>
      <c r="W103">
        <v>1.19</v>
      </c>
      <c r="X103">
        <v>7.0000000000000007E-2</v>
      </c>
      <c r="Y103">
        <v>11.05</v>
      </c>
      <c r="Z103">
        <v>0.12</v>
      </c>
      <c r="AA103">
        <v>1.03</v>
      </c>
      <c r="AB103">
        <v>0.02</v>
      </c>
      <c r="AW103">
        <v>223</v>
      </c>
      <c r="AX103">
        <v>15</v>
      </c>
      <c r="AY103">
        <v>264</v>
      </c>
      <c r="AZ103">
        <v>10</v>
      </c>
      <c r="BA103">
        <v>513</v>
      </c>
      <c r="BB103">
        <v>20</v>
      </c>
    </row>
    <row r="104" spans="1:54" x14ac:dyDescent="0.25">
      <c r="A104">
        <v>1032</v>
      </c>
      <c r="B104" t="s">
        <v>784</v>
      </c>
      <c r="C104">
        <v>58.78</v>
      </c>
      <c r="D104">
        <v>0.64</v>
      </c>
      <c r="E104">
        <v>1.1299999999999999</v>
      </c>
      <c r="F104">
        <v>0.05</v>
      </c>
      <c r="G104">
        <v>6.88</v>
      </c>
      <c r="H104">
        <v>0.19</v>
      </c>
      <c r="I104">
        <v>0.45</v>
      </c>
      <c r="J104">
        <v>0.01</v>
      </c>
      <c r="K104">
        <v>7.71</v>
      </c>
      <c r="L104">
        <v>0.13</v>
      </c>
      <c r="M104">
        <v>0.09</v>
      </c>
      <c r="N104">
        <v>0.02</v>
      </c>
      <c r="O104">
        <v>4.1399999999999997</v>
      </c>
      <c r="P104">
        <v>0.08</v>
      </c>
      <c r="Q104">
        <v>5.95</v>
      </c>
      <c r="R104">
        <v>7.0000000000000007E-2</v>
      </c>
      <c r="S104">
        <v>2.46</v>
      </c>
      <c r="T104">
        <v>0.14000000000000001</v>
      </c>
      <c r="U104">
        <v>0.44</v>
      </c>
      <c r="V104">
        <v>0.02</v>
      </c>
      <c r="W104">
        <v>1.65</v>
      </c>
      <c r="X104">
        <v>0.09</v>
      </c>
      <c r="Y104">
        <v>9.18</v>
      </c>
      <c r="Z104">
        <v>0.1</v>
      </c>
      <c r="AA104">
        <v>0.94</v>
      </c>
      <c r="AB104">
        <v>0.02</v>
      </c>
      <c r="AW104">
        <v>121</v>
      </c>
      <c r="AX104">
        <v>10</v>
      </c>
      <c r="AY104">
        <v>209</v>
      </c>
      <c r="AZ104">
        <v>10</v>
      </c>
      <c r="BA104">
        <v>601</v>
      </c>
      <c r="BB104">
        <v>20</v>
      </c>
    </row>
    <row r="105" spans="1:54" x14ac:dyDescent="0.25">
      <c r="A105">
        <v>1041</v>
      </c>
      <c r="B105" t="s">
        <v>785</v>
      </c>
      <c r="C105">
        <v>72.56</v>
      </c>
      <c r="D105">
        <v>0.75</v>
      </c>
      <c r="E105">
        <v>1.48</v>
      </c>
      <c r="F105">
        <v>0.05</v>
      </c>
      <c r="G105">
        <v>5.01</v>
      </c>
      <c r="H105">
        <v>0.19</v>
      </c>
      <c r="I105">
        <v>0.03</v>
      </c>
      <c r="J105">
        <v>0.01</v>
      </c>
      <c r="K105">
        <v>2.68</v>
      </c>
      <c r="L105">
        <v>7.0000000000000007E-2</v>
      </c>
      <c r="M105">
        <v>0.04</v>
      </c>
      <c r="N105">
        <v>0.02</v>
      </c>
      <c r="O105">
        <v>3.26</v>
      </c>
      <c r="P105">
        <v>0.08</v>
      </c>
      <c r="Q105">
        <v>2.71</v>
      </c>
      <c r="R105">
        <v>0.03</v>
      </c>
      <c r="S105">
        <v>2.12</v>
      </c>
      <c r="T105">
        <v>7.0000000000000007E-2</v>
      </c>
      <c r="U105">
        <v>1.3</v>
      </c>
      <c r="V105">
        <v>0.05</v>
      </c>
      <c r="W105">
        <v>1.41</v>
      </c>
      <c r="X105">
        <v>0.09</v>
      </c>
      <c r="Y105">
        <v>6.62</v>
      </c>
      <c r="Z105">
        <v>0.08</v>
      </c>
      <c r="AA105">
        <v>0.57999999999999996</v>
      </c>
      <c r="AB105">
        <v>0.01</v>
      </c>
      <c r="AW105">
        <v>120</v>
      </c>
      <c r="AX105">
        <v>10</v>
      </c>
      <c r="AY105">
        <v>27</v>
      </c>
      <c r="AZ105">
        <v>5</v>
      </c>
      <c r="BA105">
        <v>105</v>
      </c>
      <c r="BB105">
        <v>5</v>
      </c>
    </row>
    <row r="106" spans="1:54" x14ac:dyDescent="0.25">
      <c r="A106">
        <v>1057</v>
      </c>
      <c r="B106" t="s">
        <v>786</v>
      </c>
      <c r="C106">
        <v>68.09</v>
      </c>
      <c r="D106">
        <v>0.75</v>
      </c>
      <c r="E106">
        <v>1.51</v>
      </c>
      <c r="F106">
        <v>0.05</v>
      </c>
      <c r="G106">
        <v>6.09</v>
      </c>
      <c r="H106">
        <v>0.19</v>
      </c>
      <c r="I106">
        <v>0.1</v>
      </c>
      <c r="J106">
        <v>0.01</v>
      </c>
      <c r="K106">
        <v>4.4000000000000004</v>
      </c>
      <c r="L106">
        <v>7.0000000000000007E-2</v>
      </c>
      <c r="M106">
        <v>0.08</v>
      </c>
      <c r="N106">
        <v>0.02</v>
      </c>
      <c r="O106">
        <v>3.45</v>
      </c>
      <c r="P106">
        <v>0.08</v>
      </c>
      <c r="Q106">
        <v>3.87</v>
      </c>
      <c r="R106">
        <v>0.04</v>
      </c>
      <c r="S106">
        <v>2.15</v>
      </c>
      <c r="T106">
        <v>7.0000000000000007E-2</v>
      </c>
      <c r="U106">
        <v>0.82</v>
      </c>
      <c r="V106">
        <v>0.04</v>
      </c>
      <c r="W106">
        <v>1.32</v>
      </c>
      <c r="X106">
        <v>7.0000000000000007E-2</v>
      </c>
      <c r="Y106">
        <v>7.21</v>
      </c>
      <c r="Z106">
        <v>0.08</v>
      </c>
      <c r="AA106">
        <v>0.71</v>
      </c>
      <c r="AB106">
        <v>0.02</v>
      </c>
      <c r="AW106">
        <v>109</v>
      </c>
      <c r="AX106">
        <v>10</v>
      </c>
      <c r="AY106">
        <v>206</v>
      </c>
      <c r="AZ106">
        <v>10</v>
      </c>
      <c r="BA106">
        <v>57</v>
      </c>
      <c r="BB106">
        <v>5</v>
      </c>
    </row>
    <row r="107" spans="1:54" x14ac:dyDescent="0.25">
      <c r="A107">
        <v>1059</v>
      </c>
      <c r="B107" t="s">
        <v>787</v>
      </c>
      <c r="C107">
        <v>71.47</v>
      </c>
      <c r="D107">
        <v>0.75</v>
      </c>
      <c r="E107">
        <v>1.7</v>
      </c>
      <c r="F107">
        <v>7.0000000000000007E-2</v>
      </c>
      <c r="G107">
        <v>5.36</v>
      </c>
      <c r="H107">
        <v>0.19</v>
      </c>
      <c r="I107">
        <v>0.06</v>
      </c>
      <c r="J107">
        <v>0.01</v>
      </c>
      <c r="K107">
        <v>3.77</v>
      </c>
      <c r="L107">
        <v>7.0000000000000007E-2</v>
      </c>
      <c r="M107">
        <v>7.0000000000000007E-2</v>
      </c>
      <c r="N107">
        <v>0.02</v>
      </c>
      <c r="O107">
        <v>0.46</v>
      </c>
      <c r="P107">
        <v>0.83</v>
      </c>
      <c r="Q107">
        <v>4.8099999999999996</v>
      </c>
      <c r="R107">
        <v>0.06</v>
      </c>
      <c r="S107">
        <v>1.97</v>
      </c>
      <c r="T107">
        <v>7.0000000000000007E-2</v>
      </c>
      <c r="U107">
        <v>0.8</v>
      </c>
      <c r="V107">
        <v>0.02</v>
      </c>
      <c r="W107">
        <v>1.37</v>
      </c>
      <c r="X107">
        <v>7.0000000000000007E-2</v>
      </c>
      <c r="Y107">
        <v>7.68</v>
      </c>
      <c r="Z107">
        <v>0.1</v>
      </c>
      <c r="AA107">
        <v>0.28999999999999998</v>
      </c>
      <c r="AB107">
        <v>0.02</v>
      </c>
      <c r="AW107">
        <v>87</v>
      </c>
      <c r="AX107">
        <v>10</v>
      </c>
      <c r="AY107">
        <v>211</v>
      </c>
      <c r="AZ107">
        <v>10</v>
      </c>
      <c r="BA107">
        <v>38</v>
      </c>
      <c r="BB107">
        <v>5</v>
      </c>
    </row>
    <row r="108" spans="1:54" x14ac:dyDescent="0.25">
      <c r="A108">
        <v>1061</v>
      </c>
      <c r="B108" t="s">
        <v>788</v>
      </c>
      <c r="C108">
        <v>55.4</v>
      </c>
      <c r="D108">
        <v>0.64</v>
      </c>
      <c r="E108">
        <v>1.44</v>
      </c>
      <c r="F108">
        <v>0.05</v>
      </c>
      <c r="G108">
        <v>7.97</v>
      </c>
      <c r="H108">
        <v>0.19</v>
      </c>
      <c r="I108">
        <v>0.14000000000000001</v>
      </c>
      <c r="J108">
        <v>0.01</v>
      </c>
      <c r="K108">
        <v>7</v>
      </c>
      <c r="L108">
        <v>0.13</v>
      </c>
      <c r="M108">
        <v>0.16</v>
      </c>
      <c r="N108">
        <v>0.02</v>
      </c>
      <c r="O108">
        <v>7.38</v>
      </c>
      <c r="P108">
        <v>0.17</v>
      </c>
      <c r="Q108">
        <v>5.65</v>
      </c>
      <c r="R108">
        <v>7.0000000000000007E-2</v>
      </c>
      <c r="S108">
        <v>2.67</v>
      </c>
      <c r="T108">
        <v>0.14000000000000001</v>
      </c>
      <c r="U108">
        <v>0.81</v>
      </c>
      <c r="V108">
        <v>0.04</v>
      </c>
      <c r="W108">
        <v>1.17</v>
      </c>
      <c r="X108">
        <v>7.0000000000000007E-2</v>
      </c>
      <c r="Y108">
        <v>8.75</v>
      </c>
      <c r="Z108">
        <v>0.1</v>
      </c>
      <c r="AA108">
        <v>1.2</v>
      </c>
      <c r="AB108">
        <v>0.02</v>
      </c>
      <c r="AW108">
        <v>164</v>
      </c>
      <c r="AX108">
        <v>10</v>
      </c>
      <c r="AY108">
        <v>156</v>
      </c>
      <c r="AZ108">
        <v>5</v>
      </c>
      <c r="BA108">
        <v>195</v>
      </c>
      <c r="BB108">
        <v>10</v>
      </c>
    </row>
    <row r="109" spans="1:54" x14ac:dyDescent="0.25">
      <c r="A109">
        <v>1064</v>
      </c>
      <c r="B109" t="s">
        <v>789</v>
      </c>
      <c r="C109">
        <v>72.5</v>
      </c>
      <c r="D109">
        <v>0.75</v>
      </c>
      <c r="E109">
        <v>1.65</v>
      </c>
      <c r="F109">
        <v>0.05</v>
      </c>
      <c r="G109">
        <v>4.75</v>
      </c>
      <c r="H109">
        <v>0.19</v>
      </c>
      <c r="I109">
        <v>0.05</v>
      </c>
      <c r="J109">
        <v>0.01</v>
      </c>
      <c r="K109">
        <v>4.42</v>
      </c>
      <c r="L109">
        <v>7.0000000000000007E-2</v>
      </c>
      <c r="M109">
        <v>0.06</v>
      </c>
      <c r="N109">
        <v>0.02</v>
      </c>
      <c r="O109">
        <v>1.93</v>
      </c>
      <c r="P109">
        <v>0.08</v>
      </c>
      <c r="Q109">
        <v>2.42</v>
      </c>
      <c r="R109">
        <v>0.03</v>
      </c>
      <c r="S109">
        <v>1.87</v>
      </c>
      <c r="T109">
        <v>7.0000000000000007E-2</v>
      </c>
      <c r="U109">
        <v>1</v>
      </c>
      <c r="V109">
        <v>0.04</v>
      </c>
      <c r="W109">
        <v>1.29</v>
      </c>
      <c r="X109">
        <v>7.0000000000000007E-2</v>
      </c>
      <c r="Y109">
        <v>7.55</v>
      </c>
      <c r="Z109">
        <v>0.1</v>
      </c>
      <c r="AA109">
        <v>0.34</v>
      </c>
      <c r="AB109">
        <v>0.01</v>
      </c>
      <c r="AW109">
        <v>99</v>
      </c>
      <c r="AX109">
        <v>10</v>
      </c>
      <c r="AY109">
        <v>208</v>
      </c>
      <c r="AZ109">
        <v>10</v>
      </c>
      <c r="BA109">
        <v>54</v>
      </c>
      <c r="BB109">
        <v>5</v>
      </c>
    </row>
    <row r="110" spans="1:54" x14ac:dyDescent="0.25">
      <c r="A110">
        <v>1065</v>
      </c>
      <c r="B110" t="s">
        <v>790</v>
      </c>
      <c r="C110">
        <v>74.430000000000007</v>
      </c>
      <c r="D110">
        <v>0.75</v>
      </c>
      <c r="E110">
        <v>1.66</v>
      </c>
      <c r="F110">
        <v>0.05</v>
      </c>
      <c r="G110">
        <v>5.45</v>
      </c>
      <c r="H110">
        <v>0.19</v>
      </c>
      <c r="I110">
        <v>0.08</v>
      </c>
      <c r="J110">
        <v>0.01</v>
      </c>
      <c r="K110">
        <v>4.9400000000000004</v>
      </c>
      <c r="L110">
        <v>7.0000000000000007E-2</v>
      </c>
      <c r="M110">
        <v>0.08</v>
      </c>
      <c r="N110">
        <v>0.02</v>
      </c>
      <c r="O110">
        <v>0.72</v>
      </c>
      <c r="P110">
        <v>0.83</v>
      </c>
      <c r="Q110">
        <v>2.99</v>
      </c>
      <c r="R110">
        <v>0.04</v>
      </c>
      <c r="S110">
        <v>2.0099999999999998</v>
      </c>
      <c r="T110">
        <v>7.0000000000000007E-2</v>
      </c>
      <c r="U110">
        <v>0.99</v>
      </c>
      <c r="V110">
        <v>0.04</v>
      </c>
      <c r="W110">
        <v>1.29</v>
      </c>
      <c r="X110">
        <v>7.0000000000000007E-2</v>
      </c>
      <c r="Y110">
        <v>4.8499999999999996</v>
      </c>
      <c r="Z110">
        <v>0.05</v>
      </c>
      <c r="AA110">
        <v>0.28000000000000003</v>
      </c>
      <c r="AB110">
        <v>0.01</v>
      </c>
      <c r="AW110">
        <v>120</v>
      </c>
      <c r="AX110">
        <v>10</v>
      </c>
      <c r="AY110">
        <v>294</v>
      </c>
      <c r="AZ110">
        <v>10</v>
      </c>
      <c r="BA110">
        <v>60</v>
      </c>
      <c r="BB110">
        <v>5</v>
      </c>
    </row>
    <row r="111" spans="1:54" x14ac:dyDescent="0.25">
      <c r="A111">
        <v>1082</v>
      </c>
      <c r="B111" t="s">
        <v>791</v>
      </c>
      <c r="C111">
        <v>45.65</v>
      </c>
      <c r="D111">
        <v>0.54</v>
      </c>
      <c r="E111">
        <v>0.85</v>
      </c>
      <c r="F111">
        <v>0.03</v>
      </c>
      <c r="G111">
        <v>10.44</v>
      </c>
      <c r="H111">
        <v>0.28999999999999998</v>
      </c>
      <c r="I111">
        <v>0.5</v>
      </c>
      <c r="J111">
        <v>0.01</v>
      </c>
      <c r="K111">
        <v>18.47</v>
      </c>
      <c r="L111">
        <v>0.2</v>
      </c>
      <c r="M111">
        <v>0.41</v>
      </c>
      <c r="N111">
        <v>0.02</v>
      </c>
      <c r="O111">
        <v>7.8</v>
      </c>
      <c r="P111">
        <v>0.17</v>
      </c>
      <c r="Q111">
        <v>7.08</v>
      </c>
      <c r="R111">
        <v>0.08</v>
      </c>
      <c r="S111">
        <v>3.43</v>
      </c>
      <c r="T111">
        <v>0.14000000000000001</v>
      </c>
      <c r="U111">
        <v>1.36</v>
      </c>
      <c r="V111">
        <v>0.05</v>
      </c>
      <c r="W111">
        <v>0.78</v>
      </c>
      <c r="X111">
        <v>0.05</v>
      </c>
      <c r="Y111">
        <v>2.62</v>
      </c>
      <c r="Z111">
        <v>0.05</v>
      </c>
      <c r="AA111">
        <v>0.52</v>
      </c>
      <c r="AB111">
        <v>0.01</v>
      </c>
      <c r="AW111">
        <v>351</v>
      </c>
      <c r="AX111">
        <v>20</v>
      </c>
      <c r="AY111">
        <v>546</v>
      </c>
      <c r="AZ111">
        <v>20</v>
      </c>
      <c r="BA111">
        <v>24</v>
      </c>
      <c r="BB111">
        <v>5</v>
      </c>
    </row>
    <row r="112" spans="1:54" x14ac:dyDescent="0.25">
      <c r="A112">
        <v>1089</v>
      </c>
      <c r="B112" t="s">
        <v>792</v>
      </c>
      <c r="C112">
        <v>68.069999999999993</v>
      </c>
      <c r="D112">
        <v>0.75</v>
      </c>
      <c r="E112">
        <v>1.43</v>
      </c>
      <c r="F112">
        <v>0.05</v>
      </c>
      <c r="G112">
        <v>6.06</v>
      </c>
      <c r="H112">
        <v>0.19</v>
      </c>
      <c r="I112">
        <v>0.2</v>
      </c>
      <c r="J112">
        <v>0.01</v>
      </c>
      <c r="K112">
        <v>9.8699999999999992</v>
      </c>
      <c r="L112">
        <v>0.13</v>
      </c>
      <c r="M112">
        <v>0.17</v>
      </c>
      <c r="N112">
        <v>0.02</v>
      </c>
      <c r="O112">
        <v>1.53</v>
      </c>
      <c r="P112">
        <v>0.83</v>
      </c>
      <c r="Q112">
        <v>3.35</v>
      </c>
      <c r="R112">
        <v>0.04</v>
      </c>
      <c r="S112">
        <v>2.1</v>
      </c>
      <c r="T112">
        <v>7.0000000000000007E-2</v>
      </c>
      <c r="U112">
        <v>0.86</v>
      </c>
      <c r="V112">
        <v>0.04</v>
      </c>
      <c r="W112">
        <v>1.17</v>
      </c>
      <c r="X112">
        <v>7.0000000000000007E-2</v>
      </c>
      <c r="Y112">
        <v>4.5999999999999996</v>
      </c>
      <c r="Z112">
        <v>0.08</v>
      </c>
      <c r="AA112">
        <v>0.35</v>
      </c>
      <c r="AB112">
        <v>0.01</v>
      </c>
      <c r="AW112">
        <v>250</v>
      </c>
      <c r="AX112">
        <v>15</v>
      </c>
      <c r="AY112">
        <v>351</v>
      </c>
      <c r="AZ112">
        <v>15</v>
      </c>
      <c r="BA112">
        <v>102</v>
      </c>
      <c r="BB112">
        <v>5</v>
      </c>
    </row>
    <row r="113" spans="1:54" x14ac:dyDescent="0.25">
      <c r="A113">
        <v>1091</v>
      </c>
      <c r="B113" t="s">
        <v>793</v>
      </c>
      <c r="C113">
        <v>73.650000000000006</v>
      </c>
      <c r="D113">
        <v>0.75</v>
      </c>
      <c r="E113">
        <v>1.57</v>
      </c>
      <c r="F113">
        <v>0.05</v>
      </c>
      <c r="G113">
        <v>5.66</v>
      </c>
      <c r="H113">
        <v>0.19</v>
      </c>
      <c r="I113">
        <v>0.1</v>
      </c>
      <c r="J113">
        <v>0.01</v>
      </c>
      <c r="K113">
        <v>5.49</v>
      </c>
      <c r="L113">
        <v>7.0000000000000007E-2</v>
      </c>
      <c r="M113">
        <v>0.09</v>
      </c>
      <c r="N113">
        <v>0.02</v>
      </c>
      <c r="O113">
        <v>0.82</v>
      </c>
      <c r="P113">
        <v>0.83</v>
      </c>
      <c r="Q113">
        <v>3.05</v>
      </c>
      <c r="R113">
        <v>0.04</v>
      </c>
      <c r="S113">
        <v>2.08</v>
      </c>
      <c r="T113">
        <v>7.0000000000000007E-2</v>
      </c>
      <c r="U113">
        <v>0.96</v>
      </c>
      <c r="V113">
        <v>0.04</v>
      </c>
      <c r="W113">
        <v>1.25</v>
      </c>
      <c r="X113">
        <v>7.0000000000000007E-2</v>
      </c>
      <c r="Y113">
        <v>4.8</v>
      </c>
      <c r="Z113">
        <v>0.08</v>
      </c>
      <c r="AA113">
        <v>0.28999999999999998</v>
      </c>
      <c r="AB113">
        <v>0.01</v>
      </c>
      <c r="AW113">
        <v>132</v>
      </c>
      <c r="AX113">
        <v>10</v>
      </c>
      <c r="AY113">
        <v>326</v>
      </c>
      <c r="AZ113">
        <v>10</v>
      </c>
      <c r="BA113">
        <v>59</v>
      </c>
      <c r="BB113">
        <v>5</v>
      </c>
    </row>
    <row r="114" spans="1:54" x14ac:dyDescent="0.25">
      <c r="A114">
        <v>1092</v>
      </c>
      <c r="B114" t="s">
        <v>794</v>
      </c>
      <c r="C114">
        <v>62.07</v>
      </c>
      <c r="D114">
        <v>0.64</v>
      </c>
      <c r="E114">
        <v>1.48</v>
      </c>
      <c r="F114">
        <v>0.05</v>
      </c>
      <c r="G114">
        <v>4.1100000000000003</v>
      </c>
      <c r="H114">
        <v>0.1</v>
      </c>
      <c r="I114">
        <v>0.1</v>
      </c>
      <c r="J114">
        <v>0.01</v>
      </c>
      <c r="K114">
        <v>5.65</v>
      </c>
      <c r="L114">
        <v>7.0000000000000007E-2</v>
      </c>
      <c r="M114">
        <v>0.04</v>
      </c>
      <c r="N114">
        <v>0.02</v>
      </c>
      <c r="O114">
        <v>4.17</v>
      </c>
      <c r="P114">
        <v>0.17</v>
      </c>
      <c r="Q114">
        <v>5.23</v>
      </c>
      <c r="R114">
        <v>0.06</v>
      </c>
      <c r="S114">
        <v>2.2000000000000002</v>
      </c>
      <c r="T114">
        <v>7.0000000000000007E-2</v>
      </c>
      <c r="U114">
        <v>0.42</v>
      </c>
      <c r="V114">
        <v>0.02</v>
      </c>
      <c r="W114">
        <v>2.2799999999999998</v>
      </c>
      <c r="X114">
        <v>0.12</v>
      </c>
      <c r="Y114">
        <v>11.04</v>
      </c>
      <c r="Z114">
        <v>0.12</v>
      </c>
      <c r="AA114">
        <v>0.98</v>
      </c>
      <c r="AB114">
        <v>0.02</v>
      </c>
      <c r="AW114">
        <v>48</v>
      </c>
      <c r="AX114">
        <v>24</v>
      </c>
      <c r="AY114">
        <v>32</v>
      </c>
      <c r="AZ114">
        <v>24</v>
      </c>
      <c r="BA114">
        <v>546</v>
      </c>
      <c r="BB114">
        <v>20</v>
      </c>
    </row>
    <row r="115" spans="1:54" x14ac:dyDescent="0.25">
      <c r="A115">
        <v>1097</v>
      </c>
      <c r="B115" t="s">
        <v>795</v>
      </c>
      <c r="C115">
        <v>43.39</v>
      </c>
      <c r="D115">
        <v>0.54</v>
      </c>
      <c r="E115">
        <v>0.96</v>
      </c>
      <c r="F115">
        <v>0.03</v>
      </c>
      <c r="G115">
        <v>11.32</v>
      </c>
      <c r="H115">
        <v>0.28999999999999998</v>
      </c>
      <c r="I115">
        <v>0.48</v>
      </c>
      <c r="J115">
        <v>0.01</v>
      </c>
      <c r="K115">
        <v>17.829999999999998</v>
      </c>
      <c r="L115">
        <v>0.2</v>
      </c>
      <c r="M115">
        <v>0.35</v>
      </c>
      <c r="N115">
        <v>0.02</v>
      </c>
      <c r="O115">
        <v>8.17</v>
      </c>
      <c r="P115">
        <v>0.17</v>
      </c>
      <c r="Q115">
        <v>5.98</v>
      </c>
      <c r="R115">
        <v>7.0000000000000007E-2</v>
      </c>
      <c r="S115">
        <v>2.78</v>
      </c>
      <c r="T115">
        <v>0.14000000000000001</v>
      </c>
      <c r="U115">
        <v>0.48</v>
      </c>
      <c r="V115">
        <v>0.02</v>
      </c>
      <c r="W115">
        <v>0.88</v>
      </c>
      <c r="X115">
        <v>0.05</v>
      </c>
      <c r="Y115">
        <v>5.66</v>
      </c>
      <c r="Z115">
        <v>0.08</v>
      </c>
      <c r="AA115">
        <v>1.56</v>
      </c>
      <c r="AB115">
        <v>0.02</v>
      </c>
      <c r="AW115">
        <v>502</v>
      </c>
      <c r="AX115">
        <v>30</v>
      </c>
      <c r="AY115">
        <v>478</v>
      </c>
      <c r="AZ115">
        <v>15</v>
      </c>
      <c r="BA115">
        <v>126</v>
      </c>
      <c r="BB115">
        <v>5</v>
      </c>
    </row>
    <row r="116" spans="1:54" x14ac:dyDescent="0.25">
      <c r="A116">
        <v>1102</v>
      </c>
      <c r="B116" t="s">
        <v>796</v>
      </c>
      <c r="C116">
        <v>43.57</v>
      </c>
      <c r="D116">
        <v>0.54</v>
      </c>
      <c r="E116">
        <v>0.89</v>
      </c>
      <c r="F116">
        <v>0.03</v>
      </c>
      <c r="G116">
        <v>8.86</v>
      </c>
      <c r="H116">
        <v>0.19</v>
      </c>
      <c r="I116">
        <v>0.39</v>
      </c>
      <c r="J116">
        <v>0.01</v>
      </c>
      <c r="K116">
        <v>19.87</v>
      </c>
      <c r="L116">
        <v>0.26</v>
      </c>
      <c r="M116">
        <v>0.53</v>
      </c>
      <c r="N116">
        <v>0.02</v>
      </c>
      <c r="O116">
        <v>8.42</v>
      </c>
      <c r="P116">
        <v>0.25</v>
      </c>
      <c r="Q116">
        <v>5.86</v>
      </c>
      <c r="R116">
        <v>7.0000000000000007E-2</v>
      </c>
      <c r="S116">
        <v>3.25</v>
      </c>
      <c r="T116">
        <v>0.14000000000000001</v>
      </c>
      <c r="U116">
        <v>0.93</v>
      </c>
      <c r="V116">
        <v>0.04</v>
      </c>
      <c r="W116">
        <v>0.74</v>
      </c>
      <c r="X116">
        <v>0.05</v>
      </c>
      <c r="Y116">
        <v>5.08</v>
      </c>
      <c r="Z116">
        <v>0.08</v>
      </c>
      <c r="AA116">
        <v>1.52</v>
      </c>
      <c r="AB116">
        <v>0.02</v>
      </c>
      <c r="AW116">
        <v>485</v>
      </c>
      <c r="AX116">
        <v>24</v>
      </c>
      <c r="AY116">
        <v>449</v>
      </c>
      <c r="AZ116">
        <v>15</v>
      </c>
      <c r="BA116">
        <v>276</v>
      </c>
      <c r="BB116">
        <v>10</v>
      </c>
    </row>
    <row r="117" spans="1:54" x14ac:dyDescent="0.25">
      <c r="A117">
        <v>1105</v>
      </c>
      <c r="B117" t="s">
        <v>797</v>
      </c>
      <c r="C117">
        <v>47.14</v>
      </c>
      <c r="D117">
        <v>0.54</v>
      </c>
      <c r="E117">
        <v>1.06</v>
      </c>
      <c r="F117">
        <v>0.03</v>
      </c>
      <c r="G117">
        <v>8.93</v>
      </c>
      <c r="H117">
        <v>0.19</v>
      </c>
      <c r="I117">
        <v>0.32</v>
      </c>
      <c r="J117">
        <v>0.01</v>
      </c>
      <c r="K117">
        <v>18.510000000000002</v>
      </c>
      <c r="L117">
        <v>0.2</v>
      </c>
      <c r="M117">
        <v>0.41</v>
      </c>
      <c r="N117">
        <v>0.02</v>
      </c>
      <c r="O117">
        <v>6.38</v>
      </c>
      <c r="P117">
        <v>0.17</v>
      </c>
      <c r="Q117">
        <v>5.65</v>
      </c>
      <c r="R117">
        <v>7.0000000000000007E-2</v>
      </c>
      <c r="S117">
        <v>2.6</v>
      </c>
      <c r="T117">
        <v>0.14000000000000001</v>
      </c>
      <c r="U117">
        <v>0.79</v>
      </c>
      <c r="V117">
        <v>0.02</v>
      </c>
      <c r="W117">
        <v>1.21</v>
      </c>
      <c r="X117">
        <v>7.0000000000000007E-2</v>
      </c>
      <c r="Y117">
        <v>5.99</v>
      </c>
      <c r="Z117">
        <v>0.08</v>
      </c>
      <c r="AA117">
        <v>0.68</v>
      </c>
      <c r="AB117">
        <v>0.02</v>
      </c>
      <c r="AW117">
        <v>662</v>
      </c>
      <c r="AX117">
        <v>35</v>
      </c>
      <c r="AY117">
        <v>1420</v>
      </c>
      <c r="AZ117">
        <v>44</v>
      </c>
      <c r="BA117">
        <v>189</v>
      </c>
      <c r="BB117">
        <v>10</v>
      </c>
    </row>
    <row r="118" spans="1:54" x14ac:dyDescent="0.25">
      <c r="A118">
        <v>1109</v>
      </c>
      <c r="B118" t="s">
        <v>798</v>
      </c>
      <c r="C118">
        <v>66.83</v>
      </c>
      <c r="D118">
        <v>0.75</v>
      </c>
      <c r="E118">
        <v>1.31</v>
      </c>
      <c r="F118">
        <v>0.05</v>
      </c>
      <c r="G118">
        <v>3.45</v>
      </c>
      <c r="H118">
        <v>0.1</v>
      </c>
      <c r="I118">
        <v>0.2</v>
      </c>
      <c r="J118">
        <v>0.01</v>
      </c>
      <c r="K118">
        <v>6.08</v>
      </c>
      <c r="L118">
        <v>7.0000000000000007E-2</v>
      </c>
      <c r="M118">
        <v>7.0000000000000007E-2</v>
      </c>
      <c r="N118">
        <v>0.02</v>
      </c>
      <c r="O118">
        <v>3.56</v>
      </c>
      <c r="P118">
        <v>0.08</v>
      </c>
      <c r="Q118">
        <v>3.4</v>
      </c>
      <c r="R118">
        <v>0.04</v>
      </c>
      <c r="S118">
        <v>1.75</v>
      </c>
      <c r="T118">
        <v>7.0000000000000007E-2</v>
      </c>
      <c r="U118">
        <v>0.84</v>
      </c>
      <c r="V118">
        <v>0.04</v>
      </c>
      <c r="W118">
        <v>1.93</v>
      </c>
      <c r="X118">
        <v>0.12</v>
      </c>
      <c r="Y118">
        <v>9.5500000000000007</v>
      </c>
      <c r="Z118">
        <v>0.1</v>
      </c>
      <c r="AA118">
        <v>0.81</v>
      </c>
      <c r="AB118">
        <v>0.02</v>
      </c>
      <c r="AW118">
        <v>78</v>
      </c>
      <c r="AX118">
        <v>10</v>
      </c>
      <c r="AY118">
        <v>403</v>
      </c>
      <c r="AZ118">
        <v>15</v>
      </c>
      <c r="BA118">
        <v>627</v>
      </c>
      <c r="BB118">
        <v>20</v>
      </c>
    </row>
    <row r="119" spans="1:54" x14ac:dyDescent="0.25">
      <c r="A119">
        <v>1114</v>
      </c>
      <c r="B119" t="s">
        <v>799</v>
      </c>
      <c r="C119">
        <v>43.4</v>
      </c>
      <c r="D119">
        <v>0.54</v>
      </c>
      <c r="E119">
        <v>0.93</v>
      </c>
      <c r="F119">
        <v>0.03</v>
      </c>
      <c r="G119">
        <v>9.7100000000000009</v>
      </c>
      <c r="H119">
        <v>0.28999999999999998</v>
      </c>
      <c r="I119">
        <v>0.42</v>
      </c>
      <c r="J119">
        <v>0.01</v>
      </c>
      <c r="K119">
        <v>17.36</v>
      </c>
      <c r="L119">
        <v>0.2</v>
      </c>
      <c r="M119">
        <v>0.36</v>
      </c>
      <c r="N119">
        <v>0.02</v>
      </c>
      <c r="O119">
        <v>8.52</v>
      </c>
      <c r="P119">
        <v>0.25</v>
      </c>
      <c r="Q119">
        <v>6.87</v>
      </c>
      <c r="R119">
        <v>7.0000000000000007E-2</v>
      </c>
      <c r="S119">
        <v>2.79</v>
      </c>
      <c r="T119">
        <v>0.14000000000000001</v>
      </c>
      <c r="U119">
        <v>0.47</v>
      </c>
      <c r="V119">
        <v>0.02</v>
      </c>
      <c r="W119">
        <v>0.94</v>
      </c>
      <c r="X119">
        <v>7.0000000000000007E-2</v>
      </c>
      <c r="Y119">
        <v>6.88</v>
      </c>
      <c r="Z119">
        <v>0.08</v>
      </c>
      <c r="AA119">
        <v>1.27</v>
      </c>
      <c r="AB119">
        <v>0.02</v>
      </c>
      <c r="AW119">
        <v>410</v>
      </c>
      <c r="AX119">
        <v>24</v>
      </c>
      <c r="AY119">
        <v>273</v>
      </c>
      <c r="AZ119">
        <v>10</v>
      </c>
      <c r="BA119">
        <v>205</v>
      </c>
      <c r="BB119">
        <v>10</v>
      </c>
    </row>
    <row r="120" spans="1:54" x14ac:dyDescent="0.25">
      <c r="A120">
        <v>1116</v>
      </c>
      <c r="B120" t="s">
        <v>800</v>
      </c>
      <c r="C120">
        <v>42.14</v>
      </c>
      <c r="D120">
        <v>0.43</v>
      </c>
      <c r="E120">
        <v>0.92</v>
      </c>
      <c r="F120">
        <v>0.03</v>
      </c>
      <c r="G120">
        <v>12.41</v>
      </c>
      <c r="H120">
        <v>0.28999999999999998</v>
      </c>
      <c r="I120">
        <v>0.38</v>
      </c>
      <c r="J120">
        <v>0.01</v>
      </c>
      <c r="K120">
        <v>19.5</v>
      </c>
      <c r="L120">
        <v>0.26</v>
      </c>
      <c r="M120">
        <v>0.4</v>
      </c>
      <c r="N120">
        <v>0.02</v>
      </c>
      <c r="O120">
        <v>8.23</v>
      </c>
      <c r="P120">
        <v>0.17</v>
      </c>
      <c r="Q120">
        <v>6.79</v>
      </c>
      <c r="R120">
        <v>7.0000000000000007E-2</v>
      </c>
      <c r="S120">
        <v>3.23</v>
      </c>
      <c r="T120">
        <v>0.14000000000000001</v>
      </c>
      <c r="U120">
        <v>0.51</v>
      </c>
      <c r="V120">
        <v>0.02</v>
      </c>
      <c r="W120">
        <v>0.8</v>
      </c>
      <c r="X120">
        <v>0.05</v>
      </c>
      <c r="Y120">
        <v>3.42</v>
      </c>
      <c r="Z120">
        <v>0.05</v>
      </c>
      <c r="AA120">
        <v>1.21</v>
      </c>
      <c r="AB120">
        <v>0.02</v>
      </c>
      <c r="AW120">
        <v>465</v>
      </c>
      <c r="AX120">
        <v>24</v>
      </c>
      <c r="AY120">
        <v>313</v>
      </c>
      <c r="AZ120">
        <v>10</v>
      </c>
      <c r="BA120">
        <v>370</v>
      </c>
      <c r="BB120">
        <v>15</v>
      </c>
    </row>
    <row r="121" spans="1:54" x14ac:dyDescent="0.25">
      <c r="A121">
        <v>1123</v>
      </c>
      <c r="B121" t="s">
        <v>801</v>
      </c>
      <c r="C121">
        <v>41.7</v>
      </c>
      <c r="D121">
        <v>0.43</v>
      </c>
      <c r="E121">
        <v>0.9</v>
      </c>
      <c r="F121">
        <v>0.03</v>
      </c>
      <c r="G121">
        <v>11.3</v>
      </c>
      <c r="H121">
        <v>0.28999999999999998</v>
      </c>
      <c r="I121">
        <v>0.45</v>
      </c>
      <c r="J121">
        <v>0.01</v>
      </c>
      <c r="K121">
        <v>19.14</v>
      </c>
      <c r="L121">
        <v>0.2</v>
      </c>
      <c r="M121">
        <v>0.39</v>
      </c>
      <c r="N121">
        <v>0.02</v>
      </c>
      <c r="O121">
        <v>8.0500000000000007</v>
      </c>
      <c r="P121">
        <v>0.17</v>
      </c>
      <c r="Q121">
        <v>7.42</v>
      </c>
      <c r="R121">
        <v>0.08</v>
      </c>
      <c r="S121">
        <v>3</v>
      </c>
      <c r="T121">
        <v>0.14000000000000001</v>
      </c>
      <c r="U121">
        <v>0.49</v>
      </c>
      <c r="V121">
        <v>0.02</v>
      </c>
      <c r="W121">
        <v>0.73</v>
      </c>
      <c r="X121">
        <v>0.05</v>
      </c>
      <c r="Y121">
        <v>5.57</v>
      </c>
      <c r="Z121">
        <v>0.08</v>
      </c>
      <c r="AA121">
        <v>0.79</v>
      </c>
      <c r="AB121">
        <v>0.02</v>
      </c>
      <c r="AW121">
        <v>465</v>
      </c>
      <c r="AX121">
        <v>24</v>
      </c>
      <c r="AY121">
        <v>292</v>
      </c>
      <c r="AZ121">
        <v>10</v>
      </c>
      <c r="BA121">
        <v>299</v>
      </c>
      <c r="BB121">
        <v>10</v>
      </c>
    </row>
    <row r="122" spans="1:54" x14ac:dyDescent="0.25">
      <c r="A122">
        <v>1124</v>
      </c>
      <c r="B122" t="s">
        <v>802</v>
      </c>
      <c r="C122">
        <v>43.66</v>
      </c>
      <c r="D122">
        <v>0.54</v>
      </c>
      <c r="E122">
        <v>0.92</v>
      </c>
      <c r="F122">
        <v>0.03</v>
      </c>
      <c r="G122">
        <v>9.57</v>
      </c>
      <c r="H122">
        <v>0.28999999999999998</v>
      </c>
      <c r="I122">
        <v>0.4</v>
      </c>
      <c r="J122">
        <v>0.01</v>
      </c>
      <c r="K122">
        <v>18.510000000000002</v>
      </c>
      <c r="L122">
        <v>0.2</v>
      </c>
      <c r="M122">
        <v>0.39</v>
      </c>
      <c r="N122">
        <v>0.02</v>
      </c>
      <c r="O122">
        <v>8.5399999999999991</v>
      </c>
      <c r="P122">
        <v>0.25</v>
      </c>
      <c r="Q122">
        <v>6.53</v>
      </c>
      <c r="R122">
        <v>7.0000000000000007E-2</v>
      </c>
      <c r="S122">
        <v>2.71</v>
      </c>
      <c r="T122">
        <v>0.14000000000000001</v>
      </c>
      <c r="U122">
        <v>0.42</v>
      </c>
      <c r="V122">
        <v>0.02</v>
      </c>
      <c r="W122">
        <v>0.89</v>
      </c>
      <c r="X122">
        <v>0.05</v>
      </c>
      <c r="Y122">
        <v>6</v>
      </c>
      <c r="Z122">
        <v>0.08</v>
      </c>
      <c r="AA122">
        <v>1.36</v>
      </c>
      <c r="AB122">
        <v>0.02</v>
      </c>
      <c r="AW122">
        <v>427</v>
      </c>
      <c r="AX122">
        <v>24</v>
      </c>
      <c r="AY122">
        <v>309</v>
      </c>
      <c r="AZ122">
        <v>10</v>
      </c>
      <c r="BA122">
        <v>308</v>
      </c>
      <c r="BB122">
        <v>10</v>
      </c>
    </row>
    <row r="123" spans="1:54" x14ac:dyDescent="0.25">
      <c r="A123">
        <v>1126</v>
      </c>
      <c r="B123" t="s">
        <v>803</v>
      </c>
      <c r="C123">
        <v>45.19</v>
      </c>
      <c r="D123">
        <v>0.54</v>
      </c>
      <c r="E123">
        <v>0.95</v>
      </c>
      <c r="F123">
        <v>0.03</v>
      </c>
      <c r="G123">
        <v>12.18</v>
      </c>
      <c r="H123">
        <v>0.28999999999999998</v>
      </c>
      <c r="I123">
        <v>0.4</v>
      </c>
      <c r="J123">
        <v>0.01</v>
      </c>
      <c r="K123">
        <v>17.22</v>
      </c>
      <c r="L123">
        <v>0.2</v>
      </c>
      <c r="M123">
        <v>0.34</v>
      </c>
      <c r="N123">
        <v>0.02</v>
      </c>
      <c r="O123">
        <v>6.88</v>
      </c>
      <c r="P123">
        <v>0.17</v>
      </c>
      <c r="Q123">
        <v>6.77</v>
      </c>
      <c r="R123">
        <v>7.0000000000000007E-2</v>
      </c>
      <c r="S123">
        <v>3.15</v>
      </c>
      <c r="T123">
        <v>0.14000000000000001</v>
      </c>
      <c r="U123">
        <v>0.5</v>
      </c>
      <c r="V123">
        <v>0.02</v>
      </c>
      <c r="W123">
        <v>0.84</v>
      </c>
      <c r="X123">
        <v>0.05</v>
      </c>
      <c r="Y123">
        <v>4.6100000000000003</v>
      </c>
      <c r="Z123">
        <v>0.05</v>
      </c>
      <c r="AA123">
        <v>0.84</v>
      </c>
      <c r="AB123">
        <v>0.02</v>
      </c>
      <c r="AW123">
        <v>386</v>
      </c>
      <c r="AX123">
        <v>20</v>
      </c>
      <c r="AY123">
        <v>306</v>
      </c>
      <c r="AZ123">
        <v>10</v>
      </c>
      <c r="BA123">
        <v>300</v>
      </c>
      <c r="BB123">
        <v>10</v>
      </c>
    </row>
    <row r="124" spans="1:54" x14ac:dyDescent="0.25">
      <c r="A124">
        <v>1130</v>
      </c>
      <c r="B124" t="s">
        <v>804</v>
      </c>
      <c r="C124">
        <v>56.23</v>
      </c>
      <c r="D124">
        <v>0.64</v>
      </c>
      <c r="E124">
        <v>1</v>
      </c>
      <c r="F124">
        <v>0.03</v>
      </c>
      <c r="G124">
        <v>5.48</v>
      </c>
      <c r="H124">
        <v>0.19</v>
      </c>
      <c r="I124">
        <v>0.34</v>
      </c>
      <c r="J124">
        <v>0.01</v>
      </c>
      <c r="K124">
        <v>9.43</v>
      </c>
      <c r="L124">
        <v>0.13</v>
      </c>
      <c r="M124">
        <v>0.09</v>
      </c>
      <c r="N124">
        <v>0.02</v>
      </c>
      <c r="O124">
        <v>4.7699999999999996</v>
      </c>
      <c r="P124">
        <v>0.17</v>
      </c>
      <c r="Q124">
        <v>5.98</v>
      </c>
      <c r="R124">
        <v>7.0000000000000007E-2</v>
      </c>
      <c r="S124">
        <v>2.5299999999999998</v>
      </c>
      <c r="T124">
        <v>0.14000000000000001</v>
      </c>
      <c r="U124">
        <v>0.44</v>
      </c>
      <c r="V124">
        <v>0.02</v>
      </c>
      <c r="W124">
        <v>1.24</v>
      </c>
      <c r="X124">
        <v>7.0000000000000007E-2</v>
      </c>
      <c r="Y124">
        <v>10.78</v>
      </c>
      <c r="Z124">
        <v>0.12</v>
      </c>
      <c r="AA124">
        <v>1.54</v>
      </c>
      <c r="AB124">
        <v>0.02</v>
      </c>
      <c r="AW124">
        <v>160</v>
      </c>
      <c r="AX124">
        <v>10</v>
      </c>
      <c r="AY124">
        <v>107</v>
      </c>
      <c r="AZ124">
        <v>5</v>
      </c>
      <c r="BA124">
        <v>335</v>
      </c>
      <c r="BB124">
        <v>15</v>
      </c>
    </row>
    <row r="125" spans="1:54" x14ac:dyDescent="0.25">
      <c r="A125">
        <v>1132</v>
      </c>
      <c r="B125" t="s">
        <v>805</v>
      </c>
      <c r="C125">
        <v>42.95</v>
      </c>
      <c r="D125">
        <v>0.54</v>
      </c>
      <c r="E125">
        <v>1</v>
      </c>
      <c r="F125">
        <v>0.03</v>
      </c>
      <c r="G125">
        <v>11.52</v>
      </c>
      <c r="H125">
        <v>0.28999999999999998</v>
      </c>
      <c r="I125">
        <v>0.51</v>
      </c>
      <c r="J125">
        <v>0.01</v>
      </c>
      <c r="K125">
        <v>21.55</v>
      </c>
      <c r="L125">
        <v>0.26</v>
      </c>
      <c r="M125">
        <v>0.4</v>
      </c>
      <c r="N125">
        <v>0.02</v>
      </c>
      <c r="O125">
        <v>7.49</v>
      </c>
      <c r="P125">
        <v>0.17</v>
      </c>
      <c r="Q125">
        <v>6.12</v>
      </c>
      <c r="R125">
        <v>7.0000000000000007E-2</v>
      </c>
      <c r="S125">
        <v>3.08</v>
      </c>
      <c r="T125">
        <v>0.14000000000000001</v>
      </c>
      <c r="U125">
        <v>0.46</v>
      </c>
      <c r="V125">
        <v>0.02</v>
      </c>
      <c r="W125">
        <v>0.72</v>
      </c>
      <c r="X125">
        <v>0.05</v>
      </c>
      <c r="Y125">
        <v>3.35</v>
      </c>
      <c r="Z125">
        <v>0.05</v>
      </c>
      <c r="AA125">
        <v>0.73</v>
      </c>
      <c r="AB125">
        <v>0.02</v>
      </c>
      <c r="AW125">
        <v>542</v>
      </c>
      <c r="AX125">
        <v>30</v>
      </c>
      <c r="AY125">
        <v>377</v>
      </c>
      <c r="AZ125">
        <v>15</v>
      </c>
      <c r="BA125">
        <v>377</v>
      </c>
      <c r="BB125">
        <v>15</v>
      </c>
    </row>
    <row r="126" spans="1:54" x14ac:dyDescent="0.25">
      <c r="A126">
        <v>1134</v>
      </c>
      <c r="B126" t="s">
        <v>806</v>
      </c>
      <c r="C126">
        <v>63.59</v>
      </c>
      <c r="D126">
        <v>0.64</v>
      </c>
      <c r="E126">
        <v>1.1399999999999999</v>
      </c>
      <c r="F126">
        <v>0.05</v>
      </c>
      <c r="G126">
        <v>1.27</v>
      </c>
      <c r="H126">
        <v>0.96</v>
      </c>
      <c r="I126">
        <v>0.31</v>
      </c>
      <c r="J126">
        <v>0.01</v>
      </c>
      <c r="K126">
        <v>7.96</v>
      </c>
      <c r="L126">
        <v>0.13</v>
      </c>
      <c r="M126">
        <v>0.05</v>
      </c>
      <c r="N126">
        <v>0.02</v>
      </c>
      <c r="O126">
        <v>0.99</v>
      </c>
      <c r="P126">
        <v>0.83</v>
      </c>
      <c r="Q126">
        <v>6.58</v>
      </c>
      <c r="R126">
        <v>7.0000000000000007E-2</v>
      </c>
      <c r="S126">
        <v>1.96</v>
      </c>
      <c r="T126">
        <v>7.0000000000000007E-2</v>
      </c>
      <c r="U126">
        <v>0.23</v>
      </c>
      <c r="V126">
        <v>0.01</v>
      </c>
      <c r="W126">
        <v>1.84</v>
      </c>
      <c r="X126">
        <v>0.12</v>
      </c>
      <c r="Y126">
        <v>13.1</v>
      </c>
      <c r="Z126">
        <v>0.17</v>
      </c>
      <c r="AA126">
        <v>0.82</v>
      </c>
      <c r="AB126">
        <v>0.03</v>
      </c>
      <c r="AW126">
        <v>100</v>
      </c>
      <c r="AX126">
        <v>15</v>
      </c>
      <c r="AY126">
        <v>93</v>
      </c>
      <c r="AZ126">
        <v>10</v>
      </c>
      <c r="BA126">
        <v>544</v>
      </c>
      <c r="BB126">
        <v>20</v>
      </c>
    </row>
    <row r="127" spans="1:54" x14ac:dyDescent="0.25">
      <c r="A127">
        <v>1142</v>
      </c>
      <c r="B127" t="s">
        <v>807</v>
      </c>
      <c r="C127">
        <v>59.15</v>
      </c>
      <c r="D127">
        <v>0.64</v>
      </c>
      <c r="E127">
        <v>0.91</v>
      </c>
      <c r="F127">
        <v>0.03</v>
      </c>
      <c r="G127">
        <v>2.86</v>
      </c>
      <c r="H127">
        <v>0.1</v>
      </c>
      <c r="I127">
        <v>0.28000000000000003</v>
      </c>
      <c r="J127">
        <v>0.01</v>
      </c>
      <c r="K127">
        <v>10.39</v>
      </c>
      <c r="L127">
        <v>0.13</v>
      </c>
      <c r="M127">
        <v>7.0000000000000007E-2</v>
      </c>
      <c r="N127">
        <v>0.02</v>
      </c>
      <c r="O127">
        <v>1.47</v>
      </c>
      <c r="P127">
        <v>0.83</v>
      </c>
      <c r="Q127">
        <v>7.1</v>
      </c>
      <c r="R127">
        <v>0.08</v>
      </c>
      <c r="S127">
        <v>2.15</v>
      </c>
      <c r="T127">
        <v>7.0000000000000007E-2</v>
      </c>
      <c r="U127">
        <v>0.28999999999999998</v>
      </c>
      <c r="V127">
        <v>0.01</v>
      </c>
      <c r="W127">
        <v>1.56</v>
      </c>
      <c r="X127">
        <v>0.09</v>
      </c>
      <c r="Y127">
        <v>13.07</v>
      </c>
      <c r="Z127">
        <v>0.15</v>
      </c>
      <c r="AA127">
        <v>0.54</v>
      </c>
      <c r="AB127">
        <v>0.01</v>
      </c>
      <c r="AW127">
        <v>183</v>
      </c>
      <c r="AX127">
        <v>10</v>
      </c>
      <c r="AY127">
        <v>93</v>
      </c>
      <c r="AZ127">
        <v>5</v>
      </c>
      <c r="BA127">
        <v>441</v>
      </c>
      <c r="BB127">
        <v>15</v>
      </c>
    </row>
    <row r="128" spans="1:54" x14ac:dyDescent="0.25">
      <c r="A128">
        <v>1143</v>
      </c>
      <c r="B128" t="s">
        <v>808</v>
      </c>
      <c r="C128">
        <v>53.88</v>
      </c>
      <c r="D128">
        <v>0.64</v>
      </c>
      <c r="E128">
        <v>0.95</v>
      </c>
      <c r="F128">
        <v>0.03</v>
      </c>
      <c r="G128">
        <v>3.98</v>
      </c>
      <c r="H128">
        <v>0.1</v>
      </c>
      <c r="I128">
        <v>0.33</v>
      </c>
      <c r="J128">
        <v>0.01</v>
      </c>
      <c r="K128">
        <v>12.44</v>
      </c>
      <c r="L128">
        <v>0.13</v>
      </c>
      <c r="M128">
        <v>0.1</v>
      </c>
      <c r="N128">
        <v>0.02</v>
      </c>
      <c r="O128">
        <v>2.11</v>
      </c>
      <c r="P128">
        <v>0.08</v>
      </c>
      <c r="Q128">
        <v>8.2899999999999991</v>
      </c>
      <c r="R128">
        <v>0.08</v>
      </c>
      <c r="S128">
        <v>2.33</v>
      </c>
      <c r="T128">
        <v>0.14000000000000001</v>
      </c>
      <c r="U128">
        <v>0.3</v>
      </c>
      <c r="V128">
        <v>0.01</v>
      </c>
      <c r="W128">
        <v>1.34</v>
      </c>
      <c r="X128">
        <v>7.0000000000000007E-2</v>
      </c>
      <c r="Y128">
        <v>13.38</v>
      </c>
      <c r="Z128">
        <v>0.15</v>
      </c>
      <c r="AA128">
        <v>0.49</v>
      </c>
      <c r="AB128">
        <v>0.01</v>
      </c>
      <c r="AW128">
        <v>232</v>
      </c>
      <c r="AX128">
        <v>15</v>
      </c>
      <c r="AY128">
        <v>132</v>
      </c>
      <c r="AZ128">
        <v>5</v>
      </c>
      <c r="BA128">
        <v>219</v>
      </c>
      <c r="BB128">
        <v>10</v>
      </c>
    </row>
    <row r="129" spans="1:54" x14ac:dyDescent="0.25">
      <c r="A129">
        <v>1150</v>
      </c>
      <c r="B129" t="s">
        <v>809</v>
      </c>
      <c r="C129">
        <v>44.49</v>
      </c>
      <c r="D129">
        <v>0.54</v>
      </c>
      <c r="E129">
        <v>0.87</v>
      </c>
      <c r="F129">
        <v>0.03</v>
      </c>
      <c r="G129">
        <v>8.84</v>
      </c>
      <c r="H129">
        <v>0.19</v>
      </c>
      <c r="I129">
        <v>0.43</v>
      </c>
      <c r="J129">
        <v>0.01</v>
      </c>
      <c r="K129">
        <v>19.760000000000002</v>
      </c>
      <c r="L129">
        <v>0.26</v>
      </c>
      <c r="M129">
        <v>0.44</v>
      </c>
      <c r="N129">
        <v>0.02</v>
      </c>
      <c r="O129">
        <v>9.5399999999999991</v>
      </c>
      <c r="P129">
        <v>0.25</v>
      </c>
      <c r="Q129">
        <v>6.15</v>
      </c>
      <c r="R129">
        <v>7.0000000000000007E-2</v>
      </c>
      <c r="S129">
        <v>2.73</v>
      </c>
      <c r="T129">
        <v>0.14000000000000001</v>
      </c>
      <c r="U129">
        <v>0.28999999999999998</v>
      </c>
      <c r="V129">
        <v>0.01</v>
      </c>
      <c r="W129">
        <v>0.78</v>
      </c>
      <c r="X129">
        <v>0.05</v>
      </c>
      <c r="Y129">
        <v>3.96</v>
      </c>
      <c r="Z129">
        <v>0.05</v>
      </c>
      <c r="AA129">
        <v>1.65</v>
      </c>
      <c r="AB129">
        <v>0.03</v>
      </c>
      <c r="AW129">
        <v>428</v>
      </c>
      <c r="AX129">
        <v>24</v>
      </c>
      <c r="AY129">
        <v>417</v>
      </c>
      <c r="AZ129">
        <v>15</v>
      </c>
      <c r="BA129">
        <v>240</v>
      </c>
      <c r="BB129">
        <v>10</v>
      </c>
    </row>
    <row r="130" spans="1:54" x14ac:dyDescent="0.25">
      <c r="A130">
        <v>1150</v>
      </c>
      <c r="B130" t="s">
        <v>810</v>
      </c>
      <c r="C130">
        <v>44.61</v>
      </c>
      <c r="D130">
        <v>0.54</v>
      </c>
      <c r="E130">
        <v>0.87</v>
      </c>
      <c r="F130">
        <v>0.03</v>
      </c>
      <c r="G130">
        <v>8.7899999999999991</v>
      </c>
      <c r="H130">
        <v>0.19</v>
      </c>
      <c r="I130">
        <v>0.41</v>
      </c>
      <c r="J130">
        <v>0.01</v>
      </c>
      <c r="K130">
        <v>19.36</v>
      </c>
      <c r="L130">
        <v>0.26</v>
      </c>
      <c r="M130">
        <v>0.43</v>
      </c>
      <c r="N130">
        <v>0.02</v>
      </c>
      <c r="O130">
        <v>10.119999999999999</v>
      </c>
      <c r="P130">
        <v>0.25</v>
      </c>
      <c r="Q130">
        <v>5.51</v>
      </c>
      <c r="R130">
        <v>0.06</v>
      </c>
      <c r="S130">
        <v>2.56</v>
      </c>
      <c r="T130">
        <v>0.14000000000000001</v>
      </c>
      <c r="U130">
        <v>0.31</v>
      </c>
      <c r="V130">
        <v>0.01</v>
      </c>
      <c r="W130">
        <v>0.76</v>
      </c>
      <c r="X130">
        <v>0.05</v>
      </c>
      <c r="Y130">
        <v>4.9000000000000004</v>
      </c>
      <c r="Z130">
        <v>0.08</v>
      </c>
      <c r="AA130">
        <v>1.33</v>
      </c>
      <c r="AB130">
        <v>0.02</v>
      </c>
      <c r="AW130">
        <v>456</v>
      </c>
      <c r="AX130">
        <v>24</v>
      </c>
      <c r="AY130">
        <v>324</v>
      </c>
      <c r="AZ130">
        <v>10</v>
      </c>
      <c r="BA130">
        <v>192</v>
      </c>
      <c r="BB130">
        <v>10</v>
      </c>
    </row>
    <row r="131" spans="1:54" x14ac:dyDescent="0.25">
      <c r="A131">
        <v>1157</v>
      </c>
      <c r="B131" t="s">
        <v>811</v>
      </c>
      <c r="C131">
        <v>50.7</v>
      </c>
      <c r="D131">
        <v>0.54</v>
      </c>
      <c r="E131">
        <v>1.02</v>
      </c>
      <c r="F131">
        <v>0.03</v>
      </c>
      <c r="G131">
        <v>9.26</v>
      </c>
      <c r="H131">
        <v>0.19</v>
      </c>
      <c r="I131">
        <v>0.3</v>
      </c>
      <c r="J131">
        <v>0.01</v>
      </c>
      <c r="K131">
        <v>17.420000000000002</v>
      </c>
      <c r="L131">
        <v>0.2</v>
      </c>
      <c r="M131">
        <v>0.22</v>
      </c>
      <c r="N131">
        <v>0.02</v>
      </c>
      <c r="O131">
        <v>4.9400000000000004</v>
      </c>
      <c r="P131">
        <v>0.17</v>
      </c>
      <c r="Q131">
        <v>4.8099999999999996</v>
      </c>
      <c r="R131">
        <v>0.06</v>
      </c>
      <c r="S131">
        <v>2.5499999999999998</v>
      </c>
      <c r="T131">
        <v>0.14000000000000001</v>
      </c>
      <c r="U131">
        <v>0.98</v>
      </c>
      <c r="V131">
        <v>0.04</v>
      </c>
      <c r="W131">
        <v>0.53</v>
      </c>
      <c r="X131">
        <v>0.05</v>
      </c>
      <c r="Y131">
        <v>6.28</v>
      </c>
      <c r="Z131">
        <v>0.1</v>
      </c>
      <c r="AA131">
        <v>0.72</v>
      </c>
      <c r="AB131">
        <v>0.02</v>
      </c>
      <c r="AW131">
        <v>763</v>
      </c>
      <c r="AX131">
        <v>40</v>
      </c>
      <c r="AY131">
        <v>1209</v>
      </c>
      <c r="AZ131">
        <v>40</v>
      </c>
      <c r="BA131">
        <v>71</v>
      </c>
      <c r="BB131">
        <v>10</v>
      </c>
    </row>
    <row r="132" spans="1:54" x14ac:dyDescent="0.25">
      <c r="A132">
        <v>1157</v>
      </c>
      <c r="B132" t="s">
        <v>812</v>
      </c>
      <c r="C132">
        <v>52.45</v>
      </c>
      <c r="D132">
        <v>0.54</v>
      </c>
      <c r="E132">
        <v>1.03</v>
      </c>
      <c r="F132">
        <v>0.03</v>
      </c>
      <c r="G132">
        <v>9.23</v>
      </c>
      <c r="H132">
        <v>0.19</v>
      </c>
      <c r="I132">
        <v>0.31</v>
      </c>
      <c r="J132">
        <v>0.01</v>
      </c>
      <c r="K132">
        <v>17.28</v>
      </c>
      <c r="L132">
        <v>0.2</v>
      </c>
      <c r="M132">
        <v>0.22</v>
      </c>
      <c r="N132">
        <v>0.02</v>
      </c>
      <c r="O132">
        <v>4.55</v>
      </c>
      <c r="P132">
        <v>0.17</v>
      </c>
      <c r="Q132">
        <v>4.45</v>
      </c>
      <c r="R132">
        <v>0.06</v>
      </c>
      <c r="S132">
        <v>2.5299999999999998</v>
      </c>
      <c r="T132">
        <v>0.14000000000000001</v>
      </c>
      <c r="U132">
        <v>1.05</v>
      </c>
      <c r="V132">
        <v>0.04</v>
      </c>
      <c r="W132">
        <v>0.48</v>
      </c>
      <c r="X132">
        <v>0.05</v>
      </c>
      <c r="Y132">
        <v>5.46</v>
      </c>
      <c r="Z132">
        <v>0.08</v>
      </c>
      <c r="AA132">
        <v>0.71</v>
      </c>
      <c r="AB132">
        <v>0.02</v>
      </c>
      <c r="AW132">
        <v>816</v>
      </c>
      <c r="AX132">
        <v>44</v>
      </c>
      <c r="AY132">
        <v>1303</v>
      </c>
      <c r="AZ132">
        <v>40</v>
      </c>
      <c r="BA132">
        <v>71</v>
      </c>
      <c r="BB132">
        <v>5</v>
      </c>
    </row>
    <row r="133" spans="1:54" x14ac:dyDescent="0.25">
      <c r="A133">
        <v>1166</v>
      </c>
      <c r="B133" t="s">
        <v>813</v>
      </c>
      <c r="C133">
        <v>51.24</v>
      </c>
      <c r="D133">
        <v>0.54</v>
      </c>
      <c r="E133">
        <v>1.06</v>
      </c>
      <c r="F133">
        <v>0.03</v>
      </c>
      <c r="G133">
        <v>9.31</v>
      </c>
      <c r="H133">
        <v>0.19</v>
      </c>
      <c r="I133">
        <v>0.3</v>
      </c>
      <c r="J133">
        <v>0.01</v>
      </c>
      <c r="K133">
        <v>17.170000000000002</v>
      </c>
      <c r="L133">
        <v>0.2</v>
      </c>
      <c r="M133">
        <v>0.33</v>
      </c>
      <c r="N133">
        <v>0.02</v>
      </c>
      <c r="O133">
        <v>5.62</v>
      </c>
      <c r="P133">
        <v>0.17</v>
      </c>
      <c r="Q133">
        <v>4.0199999999999996</v>
      </c>
      <c r="R133">
        <v>0.04</v>
      </c>
      <c r="S133">
        <v>2.71</v>
      </c>
      <c r="T133">
        <v>0.14000000000000001</v>
      </c>
      <c r="U133">
        <v>0.93</v>
      </c>
      <c r="V133">
        <v>0.04</v>
      </c>
      <c r="W133">
        <v>0.74</v>
      </c>
      <c r="X133">
        <v>0.05</v>
      </c>
      <c r="Y133">
        <v>4.92</v>
      </c>
      <c r="Z133">
        <v>0.05</v>
      </c>
      <c r="AA133">
        <v>1.38</v>
      </c>
      <c r="AB133">
        <v>0.02</v>
      </c>
      <c r="AW133">
        <v>1158</v>
      </c>
      <c r="AX133">
        <v>60</v>
      </c>
      <c r="AY133">
        <v>1088</v>
      </c>
      <c r="AZ133">
        <v>35</v>
      </c>
      <c r="BA133">
        <v>351</v>
      </c>
      <c r="BB133">
        <v>15</v>
      </c>
    </row>
    <row r="134" spans="1:54" x14ac:dyDescent="0.25">
      <c r="A134">
        <v>1182</v>
      </c>
      <c r="B134" t="s">
        <v>814</v>
      </c>
      <c r="C134">
        <v>45.69</v>
      </c>
      <c r="D134">
        <v>0.54</v>
      </c>
      <c r="E134">
        <v>0.89</v>
      </c>
      <c r="F134">
        <v>0.03</v>
      </c>
      <c r="G134">
        <v>9.83</v>
      </c>
      <c r="H134">
        <v>0.28999999999999998</v>
      </c>
      <c r="I134">
        <v>0.43</v>
      </c>
      <c r="J134">
        <v>0.01</v>
      </c>
      <c r="K134">
        <v>18.829999999999998</v>
      </c>
      <c r="L134">
        <v>0.2</v>
      </c>
      <c r="M134">
        <v>0.41</v>
      </c>
      <c r="N134">
        <v>0.02</v>
      </c>
      <c r="O134">
        <v>8.98</v>
      </c>
      <c r="P134">
        <v>0.25</v>
      </c>
      <c r="Q134">
        <v>7.29</v>
      </c>
      <c r="R134">
        <v>0.08</v>
      </c>
      <c r="S134">
        <v>2.74</v>
      </c>
      <c r="T134">
        <v>0.14000000000000001</v>
      </c>
      <c r="U134">
        <v>0.43</v>
      </c>
      <c r="V134">
        <v>0.02</v>
      </c>
      <c r="W134">
        <v>0.77</v>
      </c>
      <c r="X134">
        <v>0.05</v>
      </c>
      <c r="Y134">
        <v>3.19</v>
      </c>
      <c r="Z134">
        <v>0.05</v>
      </c>
      <c r="AA134">
        <v>0.51</v>
      </c>
      <c r="AB134">
        <v>0.02</v>
      </c>
      <c r="AW134">
        <v>496</v>
      </c>
      <c r="AX134">
        <v>24</v>
      </c>
      <c r="AY134">
        <v>197</v>
      </c>
      <c r="AZ134">
        <v>10</v>
      </c>
      <c r="BA134">
        <v>31</v>
      </c>
      <c r="BB134">
        <v>5</v>
      </c>
    </row>
    <row r="135" spans="1:54" x14ac:dyDescent="0.25">
      <c r="A135">
        <v>1184</v>
      </c>
      <c r="B135" t="s">
        <v>815</v>
      </c>
      <c r="C135">
        <v>44.56</v>
      </c>
      <c r="D135">
        <v>0.54</v>
      </c>
      <c r="E135">
        <v>0.9</v>
      </c>
      <c r="F135">
        <v>0.03</v>
      </c>
      <c r="G135">
        <v>8.49</v>
      </c>
      <c r="H135">
        <v>0.19</v>
      </c>
      <c r="I135">
        <v>0.53</v>
      </c>
      <c r="J135">
        <v>0.01</v>
      </c>
      <c r="K135">
        <v>20.76</v>
      </c>
      <c r="L135">
        <v>0.26</v>
      </c>
      <c r="M135">
        <v>0.4</v>
      </c>
      <c r="N135">
        <v>0.02</v>
      </c>
      <c r="O135">
        <v>9.9700000000000006</v>
      </c>
      <c r="P135">
        <v>0.25</v>
      </c>
      <c r="Q135">
        <v>7.04</v>
      </c>
      <c r="R135">
        <v>0.08</v>
      </c>
      <c r="S135">
        <v>2.27</v>
      </c>
      <c r="T135">
        <v>0.14000000000000001</v>
      </c>
      <c r="U135">
        <v>0.35</v>
      </c>
      <c r="V135">
        <v>0.01</v>
      </c>
      <c r="W135">
        <v>0.76</v>
      </c>
      <c r="X135">
        <v>0.05</v>
      </c>
      <c r="Y135">
        <v>3.28</v>
      </c>
      <c r="Z135">
        <v>0.05</v>
      </c>
      <c r="AA135">
        <v>0.51</v>
      </c>
      <c r="AB135">
        <v>0.02</v>
      </c>
      <c r="AW135">
        <v>489</v>
      </c>
      <c r="AX135">
        <v>24</v>
      </c>
      <c r="AY135">
        <v>228</v>
      </c>
      <c r="AZ135">
        <v>10</v>
      </c>
      <c r="BA135">
        <v>20</v>
      </c>
      <c r="BB135">
        <v>10</v>
      </c>
    </row>
    <row r="136" spans="1:54" x14ac:dyDescent="0.25">
      <c r="A136">
        <v>1184</v>
      </c>
      <c r="B136" t="s">
        <v>816</v>
      </c>
      <c r="C136">
        <v>48.11</v>
      </c>
      <c r="D136">
        <v>0.54</v>
      </c>
      <c r="E136">
        <v>0.82</v>
      </c>
      <c r="F136">
        <v>0.03</v>
      </c>
      <c r="G136">
        <v>10.87</v>
      </c>
      <c r="H136">
        <v>0.28999999999999998</v>
      </c>
      <c r="I136">
        <v>0.2</v>
      </c>
      <c r="J136">
        <v>0.01</v>
      </c>
      <c r="K136">
        <v>16.02</v>
      </c>
      <c r="L136">
        <v>0.2</v>
      </c>
      <c r="M136">
        <v>0.34</v>
      </c>
      <c r="N136">
        <v>0.02</v>
      </c>
      <c r="O136">
        <v>7.46</v>
      </c>
      <c r="P136">
        <v>0.17</v>
      </c>
      <c r="Q136">
        <v>6.55</v>
      </c>
      <c r="R136">
        <v>7.0000000000000007E-2</v>
      </c>
      <c r="S136">
        <v>3.22</v>
      </c>
      <c r="T136">
        <v>0.14000000000000001</v>
      </c>
      <c r="U136">
        <v>0.56000000000000005</v>
      </c>
      <c r="V136">
        <v>0.02</v>
      </c>
      <c r="W136">
        <v>1</v>
      </c>
      <c r="X136">
        <v>7.0000000000000007E-2</v>
      </c>
      <c r="Y136">
        <v>4.07</v>
      </c>
      <c r="Z136">
        <v>0.05</v>
      </c>
      <c r="AA136">
        <v>0.72</v>
      </c>
      <c r="AB136">
        <v>0.02</v>
      </c>
      <c r="AW136">
        <v>511</v>
      </c>
      <c r="AX136">
        <v>30</v>
      </c>
      <c r="AY136">
        <v>190</v>
      </c>
      <c r="AZ136">
        <v>10</v>
      </c>
      <c r="BA136">
        <v>103</v>
      </c>
      <c r="BB136">
        <v>5</v>
      </c>
    </row>
    <row r="137" spans="1:54" x14ac:dyDescent="0.25">
      <c r="A137">
        <v>1191</v>
      </c>
      <c r="B137" t="s">
        <v>817</v>
      </c>
      <c r="C137">
        <v>44.7</v>
      </c>
      <c r="D137">
        <v>0.54</v>
      </c>
      <c r="E137">
        <v>0.92</v>
      </c>
      <c r="F137">
        <v>0.03</v>
      </c>
      <c r="G137">
        <v>9.0500000000000007</v>
      </c>
      <c r="H137">
        <v>0.19</v>
      </c>
      <c r="I137">
        <v>0.27</v>
      </c>
      <c r="J137">
        <v>0.01</v>
      </c>
      <c r="K137">
        <v>16.190000000000001</v>
      </c>
      <c r="L137">
        <v>0.2</v>
      </c>
      <c r="M137">
        <v>0.21</v>
      </c>
      <c r="N137">
        <v>0.02</v>
      </c>
      <c r="O137">
        <v>7.48</v>
      </c>
      <c r="P137">
        <v>0.17</v>
      </c>
      <c r="Q137">
        <v>5.04</v>
      </c>
      <c r="R137">
        <v>0.06</v>
      </c>
      <c r="S137">
        <v>2.44</v>
      </c>
      <c r="T137">
        <v>0.14000000000000001</v>
      </c>
      <c r="U137">
        <v>0.67</v>
      </c>
      <c r="V137">
        <v>0.02</v>
      </c>
      <c r="W137">
        <v>1.23</v>
      </c>
      <c r="X137">
        <v>7.0000000000000007E-2</v>
      </c>
      <c r="Y137">
        <v>10.35</v>
      </c>
      <c r="Z137">
        <v>0.12</v>
      </c>
      <c r="AA137">
        <v>1.03</v>
      </c>
      <c r="AB137">
        <v>0.02</v>
      </c>
      <c r="AW137">
        <v>1933</v>
      </c>
      <c r="AX137">
        <v>99</v>
      </c>
      <c r="AY137">
        <v>998</v>
      </c>
      <c r="AZ137">
        <v>30</v>
      </c>
      <c r="BA137">
        <v>265</v>
      </c>
      <c r="BB137">
        <v>10</v>
      </c>
    </row>
    <row r="138" spans="1:54" x14ac:dyDescent="0.25">
      <c r="A138">
        <v>1191</v>
      </c>
      <c r="B138" t="s">
        <v>818</v>
      </c>
      <c r="C138">
        <v>46.29</v>
      </c>
      <c r="D138">
        <v>0.54</v>
      </c>
      <c r="E138">
        <v>1.03</v>
      </c>
      <c r="F138">
        <v>0.03</v>
      </c>
      <c r="G138">
        <v>9.4499999999999993</v>
      </c>
      <c r="H138">
        <v>0.28999999999999998</v>
      </c>
      <c r="I138">
        <v>0.3</v>
      </c>
      <c r="J138">
        <v>0.01</v>
      </c>
      <c r="K138">
        <v>16.27</v>
      </c>
      <c r="L138">
        <v>0.2</v>
      </c>
      <c r="M138">
        <v>0.27</v>
      </c>
      <c r="N138">
        <v>0.02</v>
      </c>
      <c r="O138">
        <v>7.69</v>
      </c>
      <c r="P138">
        <v>0.17</v>
      </c>
      <c r="Q138">
        <v>5.57</v>
      </c>
      <c r="R138">
        <v>0.06</v>
      </c>
      <c r="S138">
        <v>2.64</v>
      </c>
      <c r="T138">
        <v>0.14000000000000001</v>
      </c>
      <c r="U138">
        <v>0.6</v>
      </c>
      <c r="V138">
        <v>0.02</v>
      </c>
      <c r="W138">
        <v>1.1399999999999999</v>
      </c>
      <c r="X138">
        <v>7.0000000000000007E-2</v>
      </c>
      <c r="Y138">
        <v>7.41</v>
      </c>
      <c r="Z138">
        <v>0.08</v>
      </c>
      <c r="AA138">
        <v>1.1200000000000001</v>
      </c>
      <c r="AB138">
        <v>0.02</v>
      </c>
      <c r="AW138">
        <v>671</v>
      </c>
      <c r="AX138">
        <v>35</v>
      </c>
      <c r="AY138">
        <v>1023</v>
      </c>
      <c r="AZ138">
        <v>35</v>
      </c>
      <c r="BA138">
        <v>147</v>
      </c>
      <c r="BB138">
        <v>5</v>
      </c>
    </row>
    <row r="139" spans="1:54" x14ac:dyDescent="0.25">
      <c r="A139">
        <v>1202</v>
      </c>
      <c r="B139" t="s">
        <v>819</v>
      </c>
      <c r="C139">
        <v>53.24</v>
      </c>
      <c r="D139">
        <v>0.54</v>
      </c>
      <c r="E139">
        <v>1</v>
      </c>
      <c r="F139">
        <v>0.03</v>
      </c>
      <c r="G139">
        <v>3.92</v>
      </c>
      <c r="H139">
        <v>0.1</v>
      </c>
      <c r="I139">
        <v>0.45</v>
      </c>
      <c r="J139">
        <v>0.01</v>
      </c>
      <c r="K139">
        <v>15.25</v>
      </c>
      <c r="L139">
        <v>0.2</v>
      </c>
      <c r="M139">
        <v>0.14000000000000001</v>
      </c>
      <c r="N139">
        <v>0.02</v>
      </c>
      <c r="O139">
        <v>1.81</v>
      </c>
      <c r="P139">
        <v>0.08</v>
      </c>
      <c r="Q139">
        <v>7.8</v>
      </c>
      <c r="R139">
        <v>0.08</v>
      </c>
      <c r="S139">
        <v>2.4300000000000002</v>
      </c>
      <c r="T139">
        <v>0.14000000000000001</v>
      </c>
      <c r="U139">
        <v>0.3</v>
      </c>
      <c r="V139">
        <v>0.01</v>
      </c>
      <c r="W139">
        <v>1.1499999999999999</v>
      </c>
      <c r="X139">
        <v>7.0000000000000007E-2</v>
      </c>
      <c r="Y139">
        <v>11.92</v>
      </c>
      <c r="Z139">
        <v>0.12</v>
      </c>
      <c r="AA139">
        <v>0.46</v>
      </c>
      <c r="AB139">
        <v>0.01</v>
      </c>
      <c r="AW139">
        <v>293</v>
      </c>
      <c r="AX139">
        <v>15</v>
      </c>
      <c r="AY139">
        <v>162</v>
      </c>
      <c r="AZ139">
        <v>5</v>
      </c>
      <c r="BA139">
        <v>228</v>
      </c>
      <c r="BB139">
        <v>10</v>
      </c>
    </row>
    <row r="140" spans="1:54" x14ac:dyDescent="0.25">
      <c r="A140">
        <v>1223</v>
      </c>
      <c r="B140" t="s">
        <v>820</v>
      </c>
      <c r="C140">
        <v>48.15</v>
      </c>
      <c r="D140">
        <v>0.54</v>
      </c>
      <c r="E140">
        <v>0.84</v>
      </c>
      <c r="F140">
        <v>0.03</v>
      </c>
      <c r="G140">
        <v>10.01</v>
      </c>
      <c r="H140">
        <v>0.28999999999999998</v>
      </c>
      <c r="I140">
        <v>0.32</v>
      </c>
      <c r="J140">
        <v>0.01</v>
      </c>
      <c r="K140">
        <v>17.5</v>
      </c>
      <c r="L140">
        <v>0.2</v>
      </c>
      <c r="M140">
        <v>0.37</v>
      </c>
      <c r="N140">
        <v>0.02</v>
      </c>
      <c r="O140">
        <v>8.36</v>
      </c>
      <c r="P140">
        <v>0.25</v>
      </c>
      <c r="Q140">
        <v>7.2</v>
      </c>
      <c r="R140">
        <v>0.08</v>
      </c>
      <c r="S140">
        <v>2.67</v>
      </c>
      <c r="T140">
        <v>0.14000000000000001</v>
      </c>
      <c r="U140">
        <v>0.48</v>
      </c>
      <c r="V140">
        <v>0.02</v>
      </c>
      <c r="W140">
        <v>0.75</v>
      </c>
      <c r="X140">
        <v>0.05</v>
      </c>
      <c r="Y140">
        <v>2.82</v>
      </c>
      <c r="Z140">
        <v>0.05</v>
      </c>
      <c r="AA140">
        <v>0.5</v>
      </c>
      <c r="AB140">
        <v>0.01</v>
      </c>
      <c r="AW140">
        <v>504</v>
      </c>
      <c r="AX140">
        <v>30</v>
      </c>
      <c r="AY140">
        <v>189</v>
      </c>
      <c r="AZ140">
        <v>10</v>
      </c>
      <c r="BA140">
        <v>37</v>
      </c>
      <c r="BB140">
        <v>5</v>
      </c>
    </row>
    <row r="141" spans="1:54" x14ac:dyDescent="0.25">
      <c r="A141">
        <v>1225</v>
      </c>
      <c r="B141" t="s">
        <v>821</v>
      </c>
      <c r="C141">
        <v>45.74</v>
      </c>
      <c r="D141">
        <v>0.54</v>
      </c>
      <c r="E141">
        <v>0.84</v>
      </c>
      <c r="F141">
        <v>0.03</v>
      </c>
      <c r="G141">
        <v>9.16</v>
      </c>
      <c r="H141">
        <v>0.19</v>
      </c>
      <c r="I141">
        <v>0.47</v>
      </c>
      <c r="J141">
        <v>0.01</v>
      </c>
      <c r="K141">
        <v>19.97</v>
      </c>
      <c r="L141">
        <v>0.26</v>
      </c>
      <c r="M141">
        <v>0.39</v>
      </c>
      <c r="N141">
        <v>0.02</v>
      </c>
      <c r="O141">
        <v>9.32</v>
      </c>
      <c r="P141">
        <v>0.25</v>
      </c>
      <c r="Q141">
        <v>7.13</v>
      </c>
      <c r="R141">
        <v>0.08</v>
      </c>
      <c r="S141">
        <v>2.35</v>
      </c>
      <c r="T141">
        <v>0.14000000000000001</v>
      </c>
      <c r="U141">
        <v>0.39</v>
      </c>
      <c r="V141">
        <v>0.01</v>
      </c>
      <c r="W141">
        <v>0.73</v>
      </c>
      <c r="X141">
        <v>0.05</v>
      </c>
      <c r="Y141">
        <v>2.87</v>
      </c>
      <c r="Z141">
        <v>0.05</v>
      </c>
      <c r="AA141">
        <v>0.49</v>
      </c>
      <c r="AB141">
        <v>0.02</v>
      </c>
      <c r="AW141">
        <v>527</v>
      </c>
      <c r="AX141">
        <v>30</v>
      </c>
      <c r="AY141">
        <v>201</v>
      </c>
      <c r="AZ141">
        <v>10</v>
      </c>
      <c r="BA141">
        <v>27</v>
      </c>
      <c r="BB141">
        <v>5</v>
      </c>
    </row>
    <row r="142" spans="1:54" x14ac:dyDescent="0.25">
      <c r="A142">
        <v>1226</v>
      </c>
      <c r="B142" t="s">
        <v>822</v>
      </c>
      <c r="C142">
        <v>47.88</v>
      </c>
      <c r="D142">
        <v>0.54</v>
      </c>
      <c r="E142">
        <v>0.88</v>
      </c>
      <c r="F142">
        <v>0.03</v>
      </c>
      <c r="G142">
        <v>9.7799999999999994</v>
      </c>
      <c r="H142">
        <v>0.28999999999999998</v>
      </c>
      <c r="I142">
        <v>0.39</v>
      </c>
      <c r="J142">
        <v>0.01</v>
      </c>
      <c r="K142">
        <v>17.91</v>
      </c>
      <c r="L142">
        <v>0.2</v>
      </c>
      <c r="M142">
        <v>0.37</v>
      </c>
      <c r="N142">
        <v>0.02</v>
      </c>
      <c r="O142">
        <v>7.57</v>
      </c>
      <c r="P142">
        <v>0.17</v>
      </c>
      <c r="Q142">
        <v>7.3</v>
      </c>
      <c r="R142">
        <v>0.08</v>
      </c>
      <c r="S142">
        <v>2.75</v>
      </c>
      <c r="T142">
        <v>0.14000000000000001</v>
      </c>
      <c r="U142">
        <v>0.49</v>
      </c>
      <c r="V142">
        <v>0.02</v>
      </c>
      <c r="W142">
        <v>0.79</v>
      </c>
      <c r="X142">
        <v>0.05</v>
      </c>
      <c r="Y142">
        <v>3.36</v>
      </c>
      <c r="Z142">
        <v>0.05</v>
      </c>
      <c r="AA142">
        <v>0.5</v>
      </c>
      <c r="AB142">
        <v>0.01</v>
      </c>
      <c r="AW142">
        <v>439</v>
      </c>
      <c r="AX142">
        <v>24</v>
      </c>
      <c r="AY142">
        <v>203</v>
      </c>
      <c r="AZ142">
        <v>10</v>
      </c>
      <c r="BA142">
        <v>24</v>
      </c>
      <c r="BB142">
        <v>5</v>
      </c>
    </row>
    <row r="143" spans="1:54" x14ac:dyDescent="0.25">
      <c r="A143">
        <v>1230</v>
      </c>
      <c r="B143" t="s">
        <v>823</v>
      </c>
      <c r="C143">
        <v>45.85</v>
      </c>
      <c r="D143">
        <v>0.54</v>
      </c>
      <c r="E143">
        <v>0.71</v>
      </c>
      <c r="F143">
        <v>0.03</v>
      </c>
      <c r="G143">
        <v>8.4600000000000009</v>
      </c>
      <c r="H143">
        <v>0.19</v>
      </c>
      <c r="I143">
        <v>0.3</v>
      </c>
      <c r="J143">
        <v>0.01</v>
      </c>
      <c r="K143">
        <v>20.079999999999998</v>
      </c>
      <c r="L143">
        <v>0.26</v>
      </c>
      <c r="M143">
        <v>0.42</v>
      </c>
      <c r="N143">
        <v>0.02</v>
      </c>
      <c r="O143">
        <v>11.46</v>
      </c>
      <c r="P143">
        <v>0.25</v>
      </c>
      <c r="Q143">
        <v>6.55</v>
      </c>
      <c r="R143">
        <v>7.0000000000000007E-2</v>
      </c>
      <c r="S143">
        <v>2.4300000000000002</v>
      </c>
      <c r="T143">
        <v>0.14000000000000001</v>
      </c>
      <c r="U143">
        <v>0.35</v>
      </c>
      <c r="V143">
        <v>0.01</v>
      </c>
      <c r="W143">
        <v>0.7</v>
      </c>
      <c r="X143">
        <v>0.05</v>
      </c>
      <c r="Y143">
        <v>2.29</v>
      </c>
      <c r="Z143">
        <v>0.05</v>
      </c>
      <c r="AA143">
        <v>0.4</v>
      </c>
      <c r="AB143">
        <v>0.02</v>
      </c>
      <c r="AW143">
        <v>794</v>
      </c>
      <c r="AX143">
        <v>40</v>
      </c>
      <c r="AY143">
        <v>129</v>
      </c>
      <c r="AZ143">
        <v>10</v>
      </c>
      <c r="BA143">
        <v>37</v>
      </c>
      <c r="BB143">
        <v>5</v>
      </c>
    </row>
    <row r="144" spans="1:54" x14ac:dyDescent="0.25">
      <c r="A144">
        <v>1241</v>
      </c>
      <c r="B144" t="s">
        <v>824</v>
      </c>
      <c r="C144">
        <v>45.53</v>
      </c>
      <c r="D144">
        <v>0.54</v>
      </c>
      <c r="E144">
        <v>0.75</v>
      </c>
      <c r="F144">
        <v>0.03</v>
      </c>
      <c r="G144">
        <v>8.33</v>
      </c>
      <c r="H144">
        <v>0.19</v>
      </c>
      <c r="I144">
        <v>0.28000000000000003</v>
      </c>
      <c r="J144">
        <v>0.01</v>
      </c>
      <c r="K144">
        <v>20.02</v>
      </c>
      <c r="L144">
        <v>0.26</v>
      </c>
      <c r="M144">
        <v>0.38</v>
      </c>
      <c r="N144">
        <v>0.02</v>
      </c>
      <c r="O144">
        <v>11.24</v>
      </c>
      <c r="P144">
        <v>0.25</v>
      </c>
      <c r="Q144">
        <v>7</v>
      </c>
      <c r="R144">
        <v>7.0000000000000007E-2</v>
      </c>
      <c r="S144">
        <v>2.27</v>
      </c>
      <c r="T144">
        <v>0.14000000000000001</v>
      </c>
      <c r="U144">
        <v>0.38</v>
      </c>
      <c r="V144">
        <v>0.01</v>
      </c>
      <c r="W144">
        <v>0.75</v>
      </c>
      <c r="X144">
        <v>0.05</v>
      </c>
      <c r="Y144">
        <v>2.57</v>
      </c>
      <c r="Z144">
        <v>0.05</v>
      </c>
      <c r="AA144">
        <v>0.44</v>
      </c>
      <c r="AB144">
        <v>0.02</v>
      </c>
      <c r="AW144">
        <v>753</v>
      </c>
      <c r="AX144">
        <v>40</v>
      </c>
      <c r="AY144">
        <v>141</v>
      </c>
      <c r="AZ144">
        <v>10</v>
      </c>
      <c r="BA144">
        <v>54</v>
      </c>
      <c r="BB144">
        <v>5</v>
      </c>
    </row>
    <row r="145" spans="1:54" x14ac:dyDescent="0.25">
      <c r="A145">
        <v>1242</v>
      </c>
      <c r="B145" t="s">
        <v>825</v>
      </c>
      <c r="C145">
        <v>45.42</v>
      </c>
      <c r="D145">
        <v>0.54</v>
      </c>
      <c r="E145">
        <v>0.74</v>
      </c>
      <c r="F145">
        <v>0.03</v>
      </c>
      <c r="G145">
        <v>8.15</v>
      </c>
      <c r="H145">
        <v>0.19</v>
      </c>
      <c r="I145">
        <v>0.32</v>
      </c>
      <c r="J145">
        <v>0.03</v>
      </c>
      <c r="K145">
        <v>20.3</v>
      </c>
      <c r="L145">
        <v>0.26</v>
      </c>
      <c r="M145">
        <v>0.36</v>
      </c>
      <c r="N145">
        <v>0.02</v>
      </c>
      <c r="O145">
        <v>11.71</v>
      </c>
      <c r="P145">
        <v>0.25</v>
      </c>
      <c r="Q145">
        <v>6.88</v>
      </c>
      <c r="R145">
        <v>7.0000000000000007E-2</v>
      </c>
      <c r="S145">
        <v>1.87</v>
      </c>
      <c r="T145">
        <v>0.14000000000000001</v>
      </c>
      <c r="U145">
        <v>0.37</v>
      </c>
      <c r="V145">
        <v>0.01</v>
      </c>
      <c r="W145">
        <v>0.72</v>
      </c>
      <c r="X145">
        <v>0.05</v>
      </c>
      <c r="Y145">
        <v>2.57</v>
      </c>
      <c r="Z145">
        <v>0.08</v>
      </c>
      <c r="AA145">
        <v>0.44</v>
      </c>
      <c r="AB145">
        <v>0.02</v>
      </c>
      <c r="AW145">
        <v>732</v>
      </c>
      <c r="AX145">
        <v>40</v>
      </c>
      <c r="AY145">
        <v>149</v>
      </c>
      <c r="AZ145">
        <v>15</v>
      </c>
      <c r="BA145">
        <v>30</v>
      </c>
      <c r="BB145">
        <v>5</v>
      </c>
    </row>
    <row r="146" spans="1:54" x14ac:dyDescent="0.25">
      <c r="A146">
        <v>1245</v>
      </c>
      <c r="B146" t="s">
        <v>826</v>
      </c>
      <c r="C146">
        <v>48.88</v>
      </c>
      <c r="D146">
        <v>0.54</v>
      </c>
      <c r="E146">
        <v>0.92</v>
      </c>
      <c r="F146">
        <v>0.03</v>
      </c>
      <c r="G146">
        <v>8.77</v>
      </c>
      <c r="H146">
        <v>0.19</v>
      </c>
      <c r="I146">
        <v>0.25</v>
      </c>
      <c r="J146">
        <v>0.01</v>
      </c>
      <c r="K146">
        <v>19.170000000000002</v>
      </c>
      <c r="L146">
        <v>0.2</v>
      </c>
      <c r="M146">
        <v>0.25</v>
      </c>
      <c r="N146">
        <v>0.02</v>
      </c>
      <c r="O146">
        <v>5.53</v>
      </c>
      <c r="P146">
        <v>0.17</v>
      </c>
      <c r="Q146">
        <v>4.1900000000000004</v>
      </c>
      <c r="R146">
        <v>0.04</v>
      </c>
      <c r="S146">
        <v>2.4300000000000002</v>
      </c>
      <c r="T146">
        <v>0.14000000000000001</v>
      </c>
      <c r="U146">
        <v>1.1499999999999999</v>
      </c>
      <c r="V146">
        <v>0.04</v>
      </c>
      <c r="W146">
        <v>0.9</v>
      </c>
      <c r="X146">
        <v>0.05</v>
      </c>
      <c r="Y146">
        <v>6.36</v>
      </c>
      <c r="Z146">
        <v>0.08</v>
      </c>
      <c r="AA146">
        <v>0.8</v>
      </c>
      <c r="AB146">
        <v>0.02</v>
      </c>
      <c r="AW146">
        <v>1142</v>
      </c>
      <c r="AX146">
        <v>60</v>
      </c>
      <c r="AY146">
        <v>852</v>
      </c>
      <c r="AZ146">
        <v>30</v>
      </c>
      <c r="BA146">
        <v>179</v>
      </c>
      <c r="BB146">
        <v>10</v>
      </c>
    </row>
    <row r="147" spans="1:54" x14ac:dyDescent="0.25">
      <c r="A147">
        <v>1245</v>
      </c>
      <c r="B147" t="s">
        <v>827</v>
      </c>
      <c r="C147">
        <v>46.48</v>
      </c>
      <c r="D147">
        <v>0.54</v>
      </c>
      <c r="E147">
        <v>0.95</v>
      </c>
      <c r="F147">
        <v>0.03</v>
      </c>
      <c r="G147">
        <v>8.48</v>
      </c>
      <c r="H147">
        <v>0.19</v>
      </c>
      <c r="I147">
        <v>0.27</v>
      </c>
      <c r="J147">
        <v>0.01</v>
      </c>
      <c r="K147">
        <v>17.579999999999998</v>
      </c>
      <c r="L147">
        <v>0.2</v>
      </c>
      <c r="M147">
        <v>0.17</v>
      </c>
      <c r="N147">
        <v>0.02</v>
      </c>
      <c r="O147">
        <v>5.1100000000000003</v>
      </c>
      <c r="P147">
        <v>0.17</v>
      </c>
      <c r="Q147">
        <v>5.9</v>
      </c>
      <c r="R147">
        <v>7.0000000000000007E-2</v>
      </c>
      <c r="S147">
        <v>2.42</v>
      </c>
      <c r="T147">
        <v>0.14000000000000001</v>
      </c>
      <c r="U147">
        <v>1.0900000000000001</v>
      </c>
      <c r="V147">
        <v>0.04</v>
      </c>
      <c r="W147">
        <v>0.76</v>
      </c>
      <c r="X147">
        <v>0.05</v>
      </c>
      <c r="Y147">
        <v>9.7100000000000009</v>
      </c>
      <c r="Z147">
        <v>0.1</v>
      </c>
      <c r="AA147">
        <v>0.81</v>
      </c>
      <c r="AB147">
        <v>0.02</v>
      </c>
      <c r="AW147">
        <v>978</v>
      </c>
      <c r="AX147">
        <v>49</v>
      </c>
      <c r="AY147">
        <v>865</v>
      </c>
      <c r="AZ147">
        <v>30</v>
      </c>
      <c r="BA147">
        <v>159</v>
      </c>
      <c r="BB147">
        <v>5</v>
      </c>
    </row>
    <row r="148" spans="1:54" x14ac:dyDescent="0.25">
      <c r="A148">
        <v>1251</v>
      </c>
      <c r="B148" t="s">
        <v>828</v>
      </c>
      <c r="C148">
        <v>46.64</v>
      </c>
      <c r="D148">
        <v>0.54</v>
      </c>
      <c r="E148">
        <v>0.93</v>
      </c>
      <c r="F148">
        <v>0.03</v>
      </c>
      <c r="G148">
        <v>8.5</v>
      </c>
      <c r="H148">
        <v>0.19</v>
      </c>
      <c r="I148">
        <v>0.28000000000000003</v>
      </c>
      <c r="J148">
        <v>0.01</v>
      </c>
      <c r="K148">
        <v>16.96</v>
      </c>
      <c r="L148">
        <v>0.2</v>
      </c>
      <c r="M148">
        <v>0.15</v>
      </c>
      <c r="N148">
        <v>0.02</v>
      </c>
      <c r="O148">
        <v>5.99</v>
      </c>
      <c r="P148">
        <v>0.17</v>
      </c>
      <c r="Q148">
        <v>4.8600000000000003</v>
      </c>
      <c r="R148">
        <v>0.06</v>
      </c>
      <c r="S148">
        <v>2.23</v>
      </c>
      <c r="T148">
        <v>7.0000000000000007E-2</v>
      </c>
      <c r="U148">
        <v>1.04</v>
      </c>
      <c r="V148">
        <v>0.04</v>
      </c>
      <c r="W148">
        <v>0.97</v>
      </c>
      <c r="X148">
        <v>7.0000000000000007E-2</v>
      </c>
      <c r="Y148">
        <v>9.9</v>
      </c>
      <c r="Z148">
        <v>0.1</v>
      </c>
      <c r="AA148">
        <v>1.24</v>
      </c>
      <c r="AB148">
        <v>0.02</v>
      </c>
      <c r="AW148">
        <v>860</v>
      </c>
      <c r="AX148">
        <v>44</v>
      </c>
      <c r="AY148">
        <v>568</v>
      </c>
      <c r="AZ148">
        <v>20</v>
      </c>
      <c r="BA148">
        <v>339</v>
      </c>
      <c r="BB148">
        <v>15</v>
      </c>
    </row>
    <row r="149" spans="1:54" x14ac:dyDescent="0.25">
      <c r="A149">
        <v>1253</v>
      </c>
      <c r="B149" t="s">
        <v>829</v>
      </c>
      <c r="C149">
        <v>48.31</v>
      </c>
      <c r="D149">
        <v>0.54</v>
      </c>
      <c r="E149">
        <v>0.81</v>
      </c>
      <c r="F149">
        <v>0.03</v>
      </c>
      <c r="G149">
        <v>10.210000000000001</v>
      </c>
      <c r="H149">
        <v>0.28999999999999998</v>
      </c>
      <c r="I149">
        <v>0.38</v>
      </c>
      <c r="J149">
        <v>0.01</v>
      </c>
      <c r="K149">
        <v>16.920000000000002</v>
      </c>
      <c r="L149">
        <v>0.2</v>
      </c>
      <c r="M149">
        <v>0.34</v>
      </c>
      <c r="N149">
        <v>0.04</v>
      </c>
      <c r="O149">
        <v>7.79</v>
      </c>
      <c r="P149">
        <v>0.17</v>
      </c>
      <c r="Q149">
        <v>7.27</v>
      </c>
      <c r="R149">
        <v>0.08</v>
      </c>
      <c r="S149">
        <v>2.73</v>
      </c>
      <c r="T149">
        <v>0.14000000000000001</v>
      </c>
      <c r="U149">
        <v>0.51</v>
      </c>
      <c r="V149">
        <v>0.02</v>
      </c>
      <c r="W149">
        <v>0.82</v>
      </c>
      <c r="X149">
        <v>0.05</v>
      </c>
      <c r="Y149">
        <v>3.18</v>
      </c>
      <c r="Z149">
        <v>0.08</v>
      </c>
      <c r="AA149">
        <v>0.55000000000000004</v>
      </c>
      <c r="AB149">
        <v>0.02</v>
      </c>
      <c r="AW149">
        <v>406</v>
      </c>
      <c r="AX149">
        <v>24</v>
      </c>
      <c r="AY149">
        <v>192</v>
      </c>
      <c r="AZ149">
        <v>10</v>
      </c>
      <c r="BA149">
        <v>31</v>
      </c>
      <c r="BB149">
        <v>5</v>
      </c>
    </row>
    <row r="150" spans="1:54" x14ac:dyDescent="0.25">
      <c r="A150">
        <v>1253</v>
      </c>
      <c r="B150" t="s">
        <v>830</v>
      </c>
      <c r="C150">
        <v>46.13</v>
      </c>
      <c r="D150">
        <v>0.54</v>
      </c>
      <c r="E150">
        <v>0.78</v>
      </c>
      <c r="F150">
        <v>0.03</v>
      </c>
      <c r="G150">
        <v>7.98</v>
      </c>
      <c r="H150">
        <v>0.19</v>
      </c>
      <c r="I150">
        <v>0.3</v>
      </c>
      <c r="J150">
        <v>0.01</v>
      </c>
      <c r="K150">
        <v>20.46</v>
      </c>
      <c r="L150">
        <v>0.26</v>
      </c>
      <c r="M150">
        <v>0.35</v>
      </c>
      <c r="N150">
        <v>0.02</v>
      </c>
      <c r="O150">
        <v>10.31</v>
      </c>
      <c r="P150">
        <v>0.25</v>
      </c>
      <c r="Q150">
        <v>6.19</v>
      </c>
      <c r="R150">
        <v>7.0000000000000007E-2</v>
      </c>
      <c r="S150">
        <v>2.29</v>
      </c>
      <c r="T150">
        <v>0.14000000000000001</v>
      </c>
      <c r="U150">
        <v>0.44</v>
      </c>
      <c r="V150">
        <v>0.02</v>
      </c>
      <c r="W150">
        <v>0.74</v>
      </c>
      <c r="X150">
        <v>0.05</v>
      </c>
      <c r="Y150">
        <v>3.3</v>
      </c>
      <c r="Z150">
        <v>0.05</v>
      </c>
      <c r="AA150">
        <v>0.62</v>
      </c>
      <c r="AB150">
        <v>0.02</v>
      </c>
      <c r="AW150">
        <v>821</v>
      </c>
      <c r="AX150">
        <v>44</v>
      </c>
      <c r="AY150">
        <v>274</v>
      </c>
      <c r="AZ150">
        <v>10</v>
      </c>
      <c r="BA150">
        <v>97</v>
      </c>
      <c r="BB150">
        <v>5</v>
      </c>
    </row>
    <row r="151" spans="1:54" x14ac:dyDescent="0.25">
      <c r="A151">
        <v>1259</v>
      </c>
      <c r="B151" t="s">
        <v>831</v>
      </c>
      <c r="C151">
        <v>46.74</v>
      </c>
      <c r="D151">
        <v>0.54</v>
      </c>
      <c r="E151">
        <v>0.94</v>
      </c>
      <c r="F151">
        <v>0.03</v>
      </c>
      <c r="G151">
        <v>8.49</v>
      </c>
      <c r="H151">
        <v>0.19</v>
      </c>
      <c r="I151">
        <v>0.24</v>
      </c>
      <c r="J151">
        <v>0.01</v>
      </c>
      <c r="K151">
        <v>17.53</v>
      </c>
      <c r="L151">
        <v>0.2</v>
      </c>
      <c r="M151">
        <v>0.27</v>
      </c>
      <c r="N151">
        <v>0.02</v>
      </c>
      <c r="O151">
        <v>6.8</v>
      </c>
      <c r="P151">
        <v>0.17</v>
      </c>
      <c r="Q151">
        <v>4.45</v>
      </c>
      <c r="R151">
        <v>0.06</v>
      </c>
      <c r="S151">
        <v>2.5</v>
      </c>
      <c r="T151">
        <v>0.14000000000000001</v>
      </c>
      <c r="U151">
        <v>0.95</v>
      </c>
      <c r="V151">
        <v>0.04</v>
      </c>
      <c r="W151">
        <v>0.99</v>
      </c>
      <c r="X151">
        <v>7.0000000000000007E-2</v>
      </c>
      <c r="Y151">
        <v>8.58</v>
      </c>
      <c r="Z151">
        <v>0.1</v>
      </c>
      <c r="AA151">
        <v>1.18</v>
      </c>
      <c r="AB151">
        <v>0.02</v>
      </c>
      <c r="AW151">
        <v>913</v>
      </c>
      <c r="AX151">
        <v>49</v>
      </c>
      <c r="AY151">
        <v>829</v>
      </c>
      <c r="AZ151">
        <v>24</v>
      </c>
      <c r="BA151">
        <v>401</v>
      </c>
      <c r="BB151">
        <v>15</v>
      </c>
    </row>
    <row r="152" spans="1:54" x14ac:dyDescent="0.25">
      <c r="A152">
        <v>1259</v>
      </c>
      <c r="B152" t="s">
        <v>832</v>
      </c>
      <c r="C152">
        <v>48.52</v>
      </c>
      <c r="D152">
        <v>0.54</v>
      </c>
      <c r="E152">
        <v>0.99</v>
      </c>
      <c r="F152">
        <v>0.03</v>
      </c>
      <c r="G152">
        <v>9.07</v>
      </c>
      <c r="H152">
        <v>0.19</v>
      </c>
      <c r="I152">
        <v>0.3</v>
      </c>
      <c r="J152">
        <v>0.01</v>
      </c>
      <c r="K152">
        <v>17.329999999999998</v>
      </c>
      <c r="L152">
        <v>0.2</v>
      </c>
      <c r="M152">
        <v>0.28000000000000003</v>
      </c>
      <c r="N152">
        <v>0.02</v>
      </c>
      <c r="O152">
        <v>6.08</v>
      </c>
      <c r="P152">
        <v>0.17</v>
      </c>
      <c r="Q152">
        <v>4.53</v>
      </c>
      <c r="R152">
        <v>0.06</v>
      </c>
      <c r="S152">
        <v>2.61</v>
      </c>
      <c r="T152">
        <v>0.14000000000000001</v>
      </c>
      <c r="U152">
        <v>0.85</v>
      </c>
      <c r="V152">
        <v>0.04</v>
      </c>
      <c r="W152">
        <v>0.83</v>
      </c>
      <c r="X152">
        <v>0.05</v>
      </c>
      <c r="Y152">
        <v>7.47</v>
      </c>
      <c r="Z152">
        <v>0.08</v>
      </c>
      <c r="AA152">
        <v>0.82</v>
      </c>
      <c r="AB152">
        <v>0.02</v>
      </c>
      <c r="AW152">
        <v>1031</v>
      </c>
      <c r="AX152">
        <v>54</v>
      </c>
      <c r="AY152">
        <v>1053</v>
      </c>
      <c r="AZ152">
        <v>35</v>
      </c>
      <c r="BA152">
        <v>463</v>
      </c>
      <c r="BB152">
        <v>15</v>
      </c>
    </row>
    <row r="153" spans="1:54" x14ac:dyDescent="0.25">
      <c r="A153">
        <v>1266</v>
      </c>
      <c r="B153" t="s">
        <v>833</v>
      </c>
      <c r="C153">
        <v>50.29</v>
      </c>
      <c r="D153">
        <v>0.54</v>
      </c>
      <c r="E153">
        <v>1</v>
      </c>
      <c r="F153">
        <v>0.03</v>
      </c>
      <c r="G153">
        <v>9.02</v>
      </c>
      <c r="H153">
        <v>0.19</v>
      </c>
      <c r="I153">
        <v>0.28000000000000003</v>
      </c>
      <c r="J153">
        <v>0.01</v>
      </c>
      <c r="K153">
        <v>18.3</v>
      </c>
      <c r="L153">
        <v>0.2</v>
      </c>
      <c r="M153">
        <v>0.26</v>
      </c>
      <c r="N153">
        <v>0.02</v>
      </c>
      <c r="O153">
        <v>5.94</v>
      </c>
      <c r="P153">
        <v>0.17</v>
      </c>
      <c r="Q153">
        <v>4.3499999999999996</v>
      </c>
      <c r="R153">
        <v>0.06</v>
      </c>
      <c r="S153">
        <v>2.58</v>
      </c>
      <c r="T153">
        <v>0.14000000000000001</v>
      </c>
      <c r="U153">
        <v>1.08</v>
      </c>
      <c r="V153">
        <v>0.04</v>
      </c>
      <c r="W153">
        <v>0.83</v>
      </c>
      <c r="X153">
        <v>0.05</v>
      </c>
      <c r="Y153">
        <v>4.68</v>
      </c>
      <c r="Z153">
        <v>0.05</v>
      </c>
      <c r="AA153">
        <v>1.02</v>
      </c>
      <c r="AB153">
        <v>0.02</v>
      </c>
      <c r="AW153">
        <v>788</v>
      </c>
      <c r="AX153">
        <v>40</v>
      </c>
      <c r="AY153">
        <v>966</v>
      </c>
      <c r="AZ153">
        <v>30</v>
      </c>
      <c r="BA153">
        <v>430</v>
      </c>
      <c r="BB153">
        <v>15</v>
      </c>
    </row>
    <row r="154" spans="1:54" x14ac:dyDescent="0.25">
      <c r="A154">
        <v>1266</v>
      </c>
      <c r="B154" t="s">
        <v>834</v>
      </c>
      <c r="C154">
        <v>51.7</v>
      </c>
      <c r="D154">
        <v>0.54</v>
      </c>
      <c r="E154">
        <v>1.04</v>
      </c>
      <c r="F154">
        <v>0.03</v>
      </c>
      <c r="G154">
        <v>9.36</v>
      </c>
      <c r="H154">
        <v>0.19</v>
      </c>
      <c r="I154">
        <v>0.28999999999999998</v>
      </c>
      <c r="J154">
        <v>0.01</v>
      </c>
      <c r="K154">
        <v>16.940000000000001</v>
      </c>
      <c r="L154">
        <v>0.2</v>
      </c>
      <c r="M154">
        <v>0.26</v>
      </c>
      <c r="N154">
        <v>0.02</v>
      </c>
      <c r="O154">
        <v>5.13</v>
      </c>
      <c r="P154">
        <v>0.17</v>
      </c>
      <c r="Q154">
        <v>4.41</v>
      </c>
      <c r="R154">
        <v>0.06</v>
      </c>
      <c r="S154">
        <v>2.59</v>
      </c>
      <c r="T154">
        <v>0.14000000000000001</v>
      </c>
      <c r="U154">
        <v>1.22</v>
      </c>
      <c r="V154">
        <v>0.05</v>
      </c>
      <c r="W154">
        <v>0.66</v>
      </c>
      <c r="X154">
        <v>0.05</v>
      </c>
      <c r="Y154">
        <v>5.21</v>
      </c>
      <c r="Z154">
        <v>0.08</v>
      </c>
      <c r="AA154">
        <v>0.96</v>
      </c>
      <c r="AB154">
        <v>0.02</v>
      </c>
      <c r="AW154">
        <v>719</v>
      </c>
      <c r="AX154">
        <v>40</v>
      </c>
      <c r="AY154">
        <v>891</v>
      </c>
      <c r="AZ154">
        <v>30</v>
      </c>
      <c r="BA154">
        <v>250</v>
      </c>
      <c r="BB154">
        <v>10</v>
      </c>
    </row>
    <row r="155" spans="1:54" x14ac:dyDescent="0.25">
      <c r="A155">
        <v>1273</v>
      </c>
      <c r="B155" t="s">
        <v>835</v>
      </c>
      <c r="C155">
        <v>50.71</v>
      </c>
      <c r="D155">
        <v>0.54</v>
      </c>
      <c r="E155">
        <v>1.05</v>
      </c>
      <c r="F155">
        <v>0.03</v>
      </c>
      <c r="G155">
        <v>10.38</v>
      </c>
      <c r="H155">
        <v>0.28999999999999998</v>
      </c>
      <c r="I155">
        <v>0.35</v>
      </c>
      <c r="J155">
        <v>0.01</v>
      </c>
      <c r="K155">
        <v>16.559999999999999</v>
      </c>
      <c r="L155">
        <v>0.2</v>
      </c>
      <c r="M155">
        <v>0.12</v>
      </c>
      <c r="N155">
        <v>0.01</v>
      </c>
      <c r="O155">
        <v>5.78</v>
      </c>
      <c r="P155">
        <v>0.17</v>
      </c>
      <c r="Q155">
        <v>4.8499999999999996</v>
      </c>
      <c r="R155">
        <v>0.06</v>
      </c>
      <c r="S155">
        <v>2.69</v>
      </c>
      <c r="T155">
        <v>0.14000000000000001</v>
      </c>
      <c r="U155">
        <v>1.1200000000000001</v>
      </c>
      <c r="V155">
        <v>0.04</v>
      </c>
      <c r="W155">
        <v>1.03</v>
      </c>
      <c r="X155">
        <v>7.0000000000000007E-2</v>
      </c>
      <c r="Y155">
        <v>4.09</v>
      </c>
      <c r="Z155">
        <v>0.05</v>
      </c>
      <c r="AA155">
        <v>0.88</v>
      </c>
      <c r="AB155">
        <v>0.02</v>
      </c>
      <c r="AW155">
        <v>883</v>
      </c>
      <c r="AX155">
        <v>44</v>
      </c>
      <c r="AY155">
        <v>1853</v>
      </c>
      <c r="AZ155">
        <v>60</v>
      </c>
      <c r="BA155">
        <v>445</v>
      </c>
      <c r="BB155">
        <v>15</v>
      </c>
    </row>
    <row r="156" spans="1:54" x14ac:dyDescent="0.25">
      <c r="A156">
        <v>1275</v>
      </c>
      <c r="B156" t="s">
        <v>836</v>
      </c>
      <c r="C156">
        <v>14.89</v>
      </c>
      <c r="D156">
        <v>0.21</v>
      </c>
      <c r="E156">
        <v>0.22</v>
      </c>
      <c r="F156">
        <v>0.02</v>
      </c>
      <c r="G156">
        <v>3.57</v>
      </c>
      <c r="H156">
        <v>0.1</v>
      </c>
      <c r="I156">
        <v>0.12</v>
      </c>
      <c r="J156">
        <v>0.01</v>
      </c>
      <c r="K156">
        <v>4.21</v>
      </c>
      <c r="L156">
        <v>7.0000000000000007E-2</v>
      </c>
      <c r="M156">
        <v>0.1</v>
      </c>
      <c r="N156">
        <v>0.01</v>
      </c>
      <c r="O156">
        <v>3.99</v>
      </c>
      <c r="P156">
        <v>0.08</v>
      </c>
      <c r="Q156">
        <v>29.39</v>
      </c>
      <c r="R156">
        <v>0.31</v>
      </c>
      <c r="S156">
        <v>1.59</v>
      </c>
      <c r="T156">
        <v>7.0000000000000007E-2</v>
      </c>
      <c r="U156">
        <v>0.13</v>
      </c>
      <c r="V156">
        <v>0.01</v>
      </c>
      <c r="W156">
        <v>0.78</v>
      </c>
      <c r="X156">
        <v>0.05</v>
      </c>
      <c r="Y156">
        <v>40.32</v>
      </c>
      <c r="Z156">
        <v>0.43</v>
      </c>
      <c r="AA156">
        <v>0.6</v>
      </c>
      <c r="AB156">
        <v>0.02</v>
      </c>
      <c r="AW156">
        <v>303</v>
      </c>
      <c r="AX156">
        <v>20</v>
      </c>
      <c r="AY156">
        <v>242</v>
      </c>
      <c r="AZ156">
        <v>10</v>
      </c>
      <c r="BA156">
        <v>26</v>
      </c>
      <c r="BB156">
        <v>5</v>
      </c>
    </row>
    <row r="157" spans="1:54" x14ac:dyDescent="0.25">
      <c r="A157">
        <v>1275</v>
      </c>
      <c r="B157" t="s">
        <v>837</v>
      </c>
      <c r="C157">
        <v>52.19</v>
      </c>
      <c r="D157">
        <v>0.54</v>
      </c>
      <c r="E157">
        <v>1.05</v>
      </c>
      <c r="F157">
        <v>0.03</v>
      </c>
      <c r="G157">
        <v>9.59</v>
      </c>
      <c r="H157">
        <v>0.28999999999999998</v>
      </c>
      <c r="I157">
        <v>0.32</v>
      </c>
      <c r="J157">
        <v>0.01</v>
      </c>
      <c r="K157">
        <v>18.170000000000002</v>
      </c>
      <c r="L157">
        <v>0.2</v>
      </c>
      <c r="M157">
        <v>0.3</v>
      </c>
      <c r="N157">
        <v>0.01</v>
      </c>
      <c r="O157">
        <v>5.03</v>
      </c>
      <c r="P157">
        <v>0.17</v>
      </c>
      <c r="Q157">
        <v>3.94</v>
      </c>
      <c r="R157">
        <v>0.04</v>
      </c>
      <c r="S157">
        <v>2.5499999999999998</v>
      </c>
      <c r="T157">
        <v>0.14000000000000001</v>
      </c>
      <c r="U157">
        <v>1.06</v>
      </c>
      <c r="V157">
        <v>0.04</v>
      </c>
      <c r="W157">
        <v>0.85</v>
      </c>
      <c r="X157">
        <v>0.05</v>
      </c>
      <c r="Y157">
        <v>4.0999999999999996</v>
      </c>
      <c r="Z157">
        <v>0.05</v>
      </c>
      <c r="AA157">
        <v>0.56000000000000005</v>
      </c>
      <c r="AB157">
        <v>0.01</v>
      </c>
      <c r="AW157">
        <v>635</v>
      </c>
      <c r="AX157">
        <v>35</v>
      </c>
      <c r="AY157">
        <v>1712</v>
      </c>
      <c r="AZ157">
        <v>54</v>
      </c>
      <c r="BA157">
        <v>44</v>
      </c>
      <c r="BB157">
        <v>5</v>
      </c>
    </row>
    <row r="158" spans="1:54" x14ac:dyDescent="0.25">
      <c r="A158">
        <v>1277</v>
      </c>
      <c r="B158" t="s">
        <v>838</v>
      </c>
      <c r="C158">
        <v>43.04</v>
      </c>
      <c r="D158">
        <v>0.54</v>
      </c>
      <c r="E158">
        <v>1.01</v>
      </c>
      <c r="F158">
        <v>0.03</v>
      </c>
      <c r="G158">
        <v>8.5500000000000007</v>
      </c>
      <c r="H158">
        <v>0.19</v>
      </c>
      <c r="I158">
        <v>0.49</v>
      </c>
      <c r="J158">
        <v>0.03</v>
      </c>
      <c r="K158">
        <v>19.32</v>
      </c>
      <c r="L158">
        <v>0.26</v>
      </c>
      <c r="M158">
        <v>0.38</v>
      </c>
      <c r="N158">
        <v>0.01</v>
      </c>
      <c r="O158">
        <v>8.68</v>
      </c>
      <c r="P158">
        <v>0.25</v>
      </c>
      <c r="Q158">
        <v>6.72</v>
      </c>
      <c r="R158">
        <v>7.0000000000000007E-2</v>
      </c>
      <c r="S158">
        <v>2.62</v>
      </c>
      <c r="T158">
        <v>0.14000000000000001</v>
      </c>
      <c r="U158">
        <v>0.48</v>
      </c>
      <c r="V158">
        <v>0.02</v>
      </c>
      <c r="W158">
        <v>0.94</v>
      </c>
      <c r="X158">
        <v>7.0000000000000007E-2</v>
      </c>
      <c r="Y158">
        <v>6.64</v>
      </c>
      <c r="Z158">
        <v>0.1</v>
      </c>
      <c r="AA158">
        <v>0.97</v>
      </c>
      <c r="AB158">
        <v>0.03</v>
      </c>
      <c r="AW158">
        <v>427</v>
      </c>
      <c r="AX158">
        <v>24</v>
      </c>
      <c r="AY158">
        <v>461</v>
      </c>
      <c r="AZ158">
        <v>15</v>
      </c>
      <c r="BA158">
        <v>390</v>
      </c>
      <c r="BB158">
        <v>15</v>
      </c>
    </row>
    <row r="159" spans="1:54" x14ac:dyDescent="0.25">
      <c r="A159">
        <v>1277</v>
      </c>
      <c r="B159" t="s">
        <v>839</v>
      </c>
      <c r="C159">
        <v>41.63</v>
      </c>
      <c r="D159">
        <v>0.43</v>
      </c>
      <c r="E159">
        <v>0.88</v>
      </c>
      <c r="F159">
        <v>0.03</v>
      </c>
      <c r="G159">
        <v>8.58</v>
      </c>
      <c r="H159">
        <v>0.19</v>
      </c>
      <c r="I159">
        <v>0.4</v>
      </c>
      <c r="J159">
        <v>0.01</v>
      </c>
      <c r="K159">
        <v>17.98</v>
      </c>
      <c r="L159">
        <v>0.2</v>
      </c>
      <c r="M159">
        <v>0.35</v>
      </c>
      <c r="N159">
        <v>0.01</v>
      </c>
      <c r="O159">
        <v>9.1999999999999993</v>
      </c>
      <c r="P159">
        <v>0.25</v>
      </c>
      <c r="Q159">
        <v>7.07</v>
      </c>
      <c r="R159">
        <v>0.08</v>
      </c>
      <c r="S159">
        <v>2.58</v>
      </c>
      <c r="T159">
        <v>0.14000000000000001</v>
      </c>
      <c r="U159">
        <v>0.46</v>
      </c>
      <c r="V159">
        <v>0.02</v>
      </c>
      <c r="W159">
        <v>0.88</v>
      </c>
      <c r="X159">
        <v>0.05</v>
      </c>
      <c r="Y159">
        <v>8.86</v>
      </c>
      <c r="Z159">
        <v>0.12</v>
      </c>
      <c r="AA159">
        <v>0.95</v>
      </c>
      <c r="AB159">
        <v>0.02</v>
      </c>
      <c r="AW159">
        <v>425</v>
      </c>
      <c r="AX159">
        <v>24</v>
      </c>
      <c r="AY159">
        <v>335</v>
      </c>
      <c r="AZ159">
        <v>15</v>
      </c>
      <c r="BA159">
        <v>234</v>
      </c>
      <c r="BB159">
        <v>10</v>
      </c>
    </row>
    <row r="160" spans="1:54" x14ac:dyDescent="0.25">
      <c r="A160">
        <v>1278</v>
      </c>
      <c r="B160" t="s">
        <v>840</v>
      </c>
      <c r="C160">
        <v>39.76</v>
      </c>
      <c r="D160">
        <v>0.43</v>
      </c>
      <c r="E160">
        <v>0.81</v>
      </c>
      <c r="F160">
        <v>0.03</v>
      </c>
      <c r="G160">
        <v>7.97</v>
      </c>
      <c r="H160">
        <v>0.19</v>
      </c>
      <c r="I160">
        <v>0.36</v>
      </c>
      <c r="J160">
        <v>0.03</v>
      </c>
      <c r="K160">
        <v>16.47</v>
      </c>
      <c r="L160">
        <v>0.2</v>
      </c>
      <c r="M160">
        <v>0.35</v>
      </c>
      <c r="N160">
        <v>0.03</v>
      </c>
      <c r="O160">
        <v>10.34</v>
      </c>
      <c r="P160">
        <v>0.25</v>
      </c>
      <c r="Q160">
        <v>6.78</v>
      </c>
      <c r="R160">
        <v>7.0000000000000007E-2</v>
      </c>
      <c r="S160">
        <v>2.48</v>
      </c>
      <c r="T160">
        <v>0.14000000000000001</v>
      </c>
      <c r="U160">
        <v>0.41</v>
      </c>
      <c r="V160">
        <v>0.02</v>
      </c>
      <c r="W160">
        <v>0.86</v>
      </c>
      <c r="X160">
        <v>0.05</v>
      </c>
      <c r="Y160">
        <v>12.07</v>
      </c>
      <c r="Z160">
        <v>0.17</v>
      </c>
      <c r="AA160">
        <v>1.1499999999999999</v>
      </c>
      <c r="AB160">
        <v>0.03</v>
      </c>
      <c r="AW160">
        <v>436</v>
      </c>
      <c r="AX160">
        <v>24</v>
      </c>
      <c r="AY160">
        <v>348</v>
      </c>
      <c r="AZ160">
        <v>15</v>
      </c>
      <c r="BA160">
        <v>414</v>
      </c>
      <c r="BB160">
        <v>15</v>
      </c>
    </row>
    <row r="161" spans="1:54" x14ac:dyDescent="0.25">
      <c r="A161">
        <v>1278</v>
      </c>
      <c r="B161" t="s">
        <v>841</v>
      </c>
      <c r="C161">
        <v>40.08</v>
      </c>
      <c r="D161">
        <v>0.43</v>
      </c>
      <c r="E161">
        <v>0.85</v>
      </c>
      <c r="F161">
        <v>0.03</v>
      </c>
      <c r="G161">
        <v>7.97</v>
      </c>
      <c r="H161">
        <v>0.19</v>
      </c>
      <c r="I161">
        <v>0.38</v>
      </c>
      <c r="J161">
        <v>0.01</v>
      </c>
      <c r="K161">
        <v>16.59</v>
      </c>
      <c r="L161">
        <v>0.2</v>
      </c>
      <c r="M161">
        <v>0.35</v>
      </c>
      <c r="N161">
        <v>0.01</v>
      </c>
      <c r="O161">
        <v>10.210000000000001</v>
      </c>
      <c r="P161">
        <v>0.25</v>
      </c>
      <c r="Q161">
        <v>6.81</v>
      </c>
      <c r="R161">
        <v>7.0000000000000007E-2</v>
      </c>
      <c r="S161">
        <v>2.54</v>
      </c>
      <c r="T161">
        <v>0.14000000000000001</v>
      </c>
      <c r="U161">
        <v>0.42</v>
      </c>
      <c r="V161">
        <v>0.02</v>
      </c>
      <c r="W161">
        <v>0.85</v>
      </c>
      <c r="X161">
        <v>0.05</v>
      </c>
      <c r="Y161">
        <v>11.72</v>
      </c>
      <c r="Z161">
        <v>0.15</v>
      </c>
      <c r="AA161">
        <v>1.08</v>
      </c>
      <c r="AB161">
        <v>0.03</v>
      </c>
      <c r="AW161">
        <v>386</v>
      </c>
      <c r="AX161">
        <v>24</v>
      </c>
      <c r="AY161">
        <v>333</v>
      </c>
      <c r="AZ161">
        <v>15</v>
      </c>
      <c r="BA161">
        <v>388</v>
      </c>
      <c r="BB161">
        <v>15</v>
      </c>
    </row>
    <row r="162" spans="1:54" x14ac:dyDescent="0.25">
      <c r="A162">
        <v>1278</v>
      </c>
      <c r="B162" t="s">
        <v>842</v>
      </c>
      <c r="C162">
        <v>39.270000000000003</v>
      </c>
      <c r="D162">
        <v>0.43</v>
      </c>
      <c r="E162">
        <v>0.83</v>
      </c>
      <c r="F162">
        <v>0.03</v>
      </c>
      <c r="G162">
        <v>7.7</v>
      </c>
      <c r="H162">
        <v>0.19</v>
      </c>
      <c r="I162">
        <v>0.4</v>
      </c>
      <c r="J162">
        <v>0.01</v>
      </c>
      <c r="K162">
        <v>16.46</v>
      </c>
      <c r="L162">
        <v>0.2</v>
      </c>
      <c r="M162">
        <v>0.35</v>
      </c>
      <c r="N162">
        <v>0.01</v>
      </c>
      <c r="O162">
        <v>10.43</v>
      </c>
      <c r="P162">
        <v>0.25</v>
      </c>
      <c r="Q162">
        <v>6.75</v>
      </c>
      <c r="R162">
        <v>7.0000000000000007E-2</v>
      </c>
      <c r="S162">
        <v>2.48</v>
      </c>
      <c r="T162">
        <v>0.14000000000000001</v>
      </c>
      <c r="U162">
        <v>0.43</v>
      </c>
      <c r="V162">
        <v>0.02</v>
      </c>
      <c r="W162">
        <v>0.86</v>
      </c>
      <c r="X162">
        <v>0.05</v>
      </c>
      <c r="Y162">
        <v>12.73</v>
      </c>
      <c r="Z162">
        <v>0.15</v>
      </c>
      <c r="AA162">
        <v>1.1599999999999999</v>
      </c>
      <c r="AB162">
        <v>0.02</v>
      </c>
      <c r="AW162">
        <v>403</v>
      </c>
      <c r="AX162">
        <v>24</v>
      </c>
      <c r="AY162">
        <v>362</v>
      </c>
      <c r="AZ162">
        <v>15</v>
      </c>
      <c r="BA162">
        <v>439</v>
      </c>
      <c r="BB162">
        <v>15</v>
      </c>
    </row>
    <row r="163" spans="1:54" x14ac:dyDescent="0.25">
      <c r="A163">
        <v>1279</v>
      </c>
      <c r="B163" t="s">
        <v>843</v>
      </c>
      <c r="C163">
        <v>40.98</v>
      </c>
      <c r="D163">
        <v>0.54</v>
      </c>
      <c r="E163">
        <v>0.93</v>
      </c>
      <c r="F163">
        <v>0.05</v>
      </c>
      <c r="G163">
        <v>9.15</v>
      </c>
      <c r="H163">
        <v>0.19</v>
      </c>
      <c r="I163">
        <v>0.33</v>
      </c>
      <c r="J163">
        <v>0.03</v>
      </c>
      <c r="K163">
        <v>19.190000000000001</v>
      </c>
      <c r="L163">
        <v>0.2</v>
      </c>
      <c r="M163">
        <v>0.39</v>
      </c>
      <c r="N163">
        <v>0.03</v>
      </c>
      <c r="O163">
        <v>8.83</v>
      </c>
      <c r="P163">
        <v>0.25</v>
      </c>
      <c r="Q163">
        <v>7.24</v>
      </c>
      <c r="R163">
        <v>0.08</v>
      </c>
      <c r="S163">
        <v>2.77</v>
      </c>
      <c r="T163">
        <v>0.14000000000000001</v>
      </c>
      <c r="U163">
        <v>0.54</v>
      </c>
      <c r="V163">
        <v>0.02</v>
      </c>
      <c r="W163">
        <v>0.94</v>
      </c>
      <c r="X163">
        <v>7.0000000000000007E-2</v>
      </c>
      <c r="Y163">
        <v>7.5</v>
      </c>
      <c r="Z163">
        <v>0.15</v>
      </c>
      <c r="AA163">
        <v>0.97</v>
      </c>
      <c r="AB163">
        <v>0.03</v>
      </c>
      <c r="AW163">
        <v>423</v>
      </c>
      <c r="AX163">
        <v>30</v>
      </c>
      <c r="AY163">
        <v>635</v>
      </c>
      <c r="AZ163">
        <v>24</v>
      </c>
      <c r="BA163">
        <v>231</v>
      </c>
      <c r="BB163">
        <v>10</v>
      </c>
    </row>
    <row r="164" spans="1:54" x14ac:dyDescent="0.25">
      <c r="A164">
        <v>1279</v>
      </c>
      <c r="B164" t="s">
        <v>844</v>
      </c>
      <c r="C164">
        <v>40.83</v>
      </c>
      <c r="D164">
        <v>0.43</v>
      </c>
      <c r="E164">
        <v>0.96</v>
      </c>
      <c r="F164">
        <v>0.03</v>
      </c>
      <c r="G164">
        <v>8.8800000000000008</v>
      </c>
      <c r="H164">
        <v>0.19</v>
      </c>
      <c r="I164">
        <v>0.32</v>
      </c>
      <c r="J164">
        <v>0.01</v>
      </c>
      <c r="K164">
        <v>19.43</v>
      </c>
      <c r="L164">
        <v>0.26</v>
      </c>
      <c r="M164">
        <v>0.39</v>
      </c>
      <c r="N164">
        <v>0.01</v>
      </c>
      <c r="O164">
        <v>8.84</v>
      </c>
      <c r="P164">
        <v>0.25</v>
      </c>
      <c r="Q164">
        <v>7.21</v>
      </c>
      <c r="R164">
        <v>0.08</v>
      </c>
      <c r="S164">
        <v>2.66</v>
      </c>
      <c r="T164">
        <v>0.14000000000000001</v>
      </c>
      <c r="U164">
        <v>0.49</v>
      </c>
      <c r="V164">
        <v>0.02</v>
      </c>
      <c r="W164">
        <v>0.95</v>
      </c>
      <c r="X164">
        <v>7.0000000000000007E-2</v>
      </c>
      <c r="Y164">
        <v>7.86</v>
      </c>
      <c r="Z164">
        <v>0.1</v>
      </c>
      <c r="AA164">
        <v>0.99</v>
      </c>
      <c r="AB164">
        <v>0.03</v>
      </c>
      <c r="AW164">
        <v>467</v>
      </c>
      <c r="AX164">
        <v>24</v>
      </c>
      <c r="AY164">
        <v>601</v>
      </c>
      <c r="AZ164">
        <v>20</v>
      </c>
      <c r="BA164">
        <v>274</v>
      </c>
      <c r="BB164">
        <v>10</v>
      </c>
    </row>
    <row r="165" spans="1:54" x14ac:dyDescent="0.25">
      <c r="A165">
        <v>1279</v>
      </c>
      <c r="B165" t="s">
        <v>845</v>
      </c>
      <c r="C165">
        <v>41.54</v>
      </c>
      <c r="D165">
        <v>0.43</v>
      </c>
      <c r="E165">
        <v>0.98</v>
      </c>
      <c r="F165">
        <v>0.03</v>
      </c>
      <c r="G165">
        <v>8.98</v>
      </c>
      <c r="H165">
        <v>0.19</v>
      </c>
      <c r="I165">
        <v>0.32</v>
      </c>
      <c r="J165">
        <v>0.01</v>
      </c>
      <c r="K165">
        <v>19.71</v>
      </c>
      <c r="L165">
        <v>0.26</v>
      </c>
      <c r="M165">
        <v>0.4</v>
      </c>
      <c r="N165">
        <v>0.01</v>
      </c>
      <c r="O165">
        <v>8.68</v>
      </c>
      <c r="P165">
        <v>0.25</v>
      </c>
      <c r="Q165">
        <v>7.15</v>
      </c>
      <c r="R165">
        <v>0.08</v>
      </c>
      <c r="S165">
        <v>2.74</v>
      </c>
      <c r="T165">
        <v>0.14000000000000001</v>
      </c>
      <c r="U165">
        <v>0.49</v>
      </c>
      <c r="V165">
        <v>0.02</v>
      </c>
      <c r="W165">
        <v>0.94</v>
      </c>
      <c r="X165">
        <v>7.0000000000000007E-2</v>
      </c>
      <c r="Y165">
        <v>6.92</v>
      </c>
      <c r="Z165">
        <v>0.1</v>
      </c>
      <c r="AA165">
        <v>0.97</v>
      </c>
      <c r="AB165">
        <v>0.02</v>
      </c>
      <c r="AW165">
        <v>474</v>
      </c>
      <c r="AX165">
        <v>24</v>
      </c>
      <c r="AY165">
        <v>582</v>
      </c>
      <c r="AZ165">
        <v>20</v>
      </c>
      <c r="BA165">
        <v>206</v>
      </c>
      <c r="BB165">
        <v>10</v>
      </c>
    </row>
    <row r="166" spans="1:54" x14ac:dyDescent="0.25">
      <c r="A166">
        <v>1287</v>
      </c>
      <c r="B166" t="s">
        <v>846</v>
      </c>
      <c r="C166">
        <v>31.58</v>
      </c>
      <c r="D166">
        <v>0.32</v>
      </c>
      <c r="E166">
        <v>0.57999999999999996</v>
      </c>
      <c r="F166">
        <v>0.03</v>
      </c>
      <c r="G166">
        <v>5.96</v>
      </c>
      <c r="H166">
        <v>0.19</v>
      </c>
      <c r="I166">
        <v>0.21</v>
      </c>
      <c r="J166">
        <v>0.01</v>
      </c>
      <c r="K166">
        <v>11.54</v>
      </c>
      <c r="L166">
        <v>0.13</v>
      </c>
      <c r="M166">
        <v>0.27</v>
      </c>
      <c r="N166">
        <v>0.01</v>
      </c>
      <c r="O166">
        <v>6.15</v>
      </c>
      <c r="P166">
        <v>0.17</v>
      </c>
      <c r="Q166">
        <v>15.89</v>
      </c>
      <c r="R166">
        <v>0.17</v>
      </c>
      <c r="S166">
        <v>2.2999999999999998</v>
      </c>
      <c r="T166">
        <v>0.14000000000000001</v>
      </c>
      <c r="U166">
        <v>0.3</v>
      </c>
      <c r="V166">
        <v>0.01</v>
      </c>
      <c r="W166">
        <v>0.78</v>
      </c>
      <c r="X166">
        <v>0.05</v>
      </c>
      <c r="Y166">
        <v>23.2</v>
      </c>
      <c r="Z166">
        <v>0.25</v>
      </c>
      <c r="AA166">
        <v>1.07</v>
      </c>
      <c r="AB166">
        <v>0.02</v>
      </c>
      <c r="AW166">
        <v>273</v>
      </c>
      <c r="AX166">
        <v>15</v>
      </c>
      <c r="AY166">
        <v>192</v>
      </c>
      <c r="AZ166">
        <v>10</v>
      </c>
      <c r="BA166">
        <v>227</v>
      </c>
      <c r="BB166">
        <v>10</v>
      </c>
    </row>
    <row r="167" spans="1:54" x14ac:dyDescent="0.25">
      <c r="A167">
        <v>1287</v>
      </c>
      <c r="B167" t="s">
        <v>847</v>
      </c>
      <c r="C167">
        <v>43.67</v>
      </c>
      <c r="D167">
        <v>0.54</v>
      </c>
      <c r="E167">
        <v>0.87</v>
      </c>
      <c r="F167">
        <v>0.03</v>
      </c>
      <c r="G167">
        <v>10.48</v>
      </c>
      <c r="H167">
        <v>0.28999999999999998</v>
      </c>
      <c r="I167">
        <v>0.46</v>
      </c>
      <c r="J167">
        <v>0.01</v>
      </c>
      <c r="K167">
        <v>18.559999999999999</v>
      </c>
      <c r="L167">
        <v>0.2</v>
      </c>
      <c r="M167">
        <v>0.4</v>
      </c>
      <c r="N167">
        <v>0.01</v>
      </c>
      <c r="O167">
        <v>9.5299999999999994</v>
      </c>
      <c r="P167">
        <v>0.25</v>
      </c>
      <c r="Q167">
        <v>5.92</v>
      </c>
      <c r="R167">
        <v>7.0000000000000007E-2</v>
      </c>
      <c r="S167">
        <v>2.56</v>
      </c>
      <c r="T167">
        <v>0.14000000000000001</v>
      </c>
      <c r="U167">
        <v>0.38</v>
      </c>
      <c r="V167">
        <v>0.01</v>
      </c>
      <c r="W167">
        <v>0.8</v>
      </c>
      <c r="X167">
        <v>0.05</v>
      </c>
      <c r="Y167">
        <v>4.7300000000000004</v>
      </c>
      <c r="Z167">
        <v>0.08</v>
      </c>
      <c r="AA167">
        <v>1.51</v>
      </c>
      <c r="AB167">
        <v>0.02</v>
      </c>
      <c r="AW167">
        <v>640</v>
      </c>
      <c r="AX167">
        <v>35</v>
      </c>
      <c r="AY167">
        <v>217</v>
      </c>
      <c r="AZ167">
        <v>10</v>
      </c>
      <c r="BA167">
        <v>177</v>
      </c>
      <c r="BB167">
        <v>10</v>
      </c>
    </row>
    <row r="168" spans="1:54" x14ac:dyDescent="0.25">
      <c r="A168">
        <v>1293</v>
      </c>
      <c r="B168" t="s">
        <v>848</v>
      </c>
      <c r="C168">
        <v>41.96</v>
      </c>
      <c r="D168">
        <v>0.43</v>
      </c>
      <c r="E168">
        <v>0.88</v>
      </c>
      <c r="F168">
        <v>0.03</v>
      </c>
      <c r="G168">
        <v>8.18</v>
      </c>
      <c r="H168">
        <v>0.19</v>
      </c>
      <c r="I168">
        <v>0.39</v>
      </c>
      <c r="J168">
        <v>0.01</v>
      </c>
      <c r="K168">
        <v>19.75</v>
      </c>
      <c r="L168">
        <v>0.26</v>
      </c>
      <c r="M168">
        <v>0.4</v>
      </c>
      <c r="N168">
        <v>0.01</v>
      </c>
      <c r="O168">
        <v>9.8000000000000007</v>
      </c>
      <c r="P168">
        <v>0.25</v>
      </c>
      <c r="Q168">
        <v>6.33</v>
      </c>
      <c r="R168">
        <v>7.0000000000000007E-2</v>
      </c>
      <c r="S168">
        <v>2.63</v>
      </c>
      <c r="T168">
        <v>0.14000000000000001</v>
      </c>
      <c r="U168">
        <v>0.35</v>
      </c>
      <c r="V168">
        <v>0.01</v>
      </c>
      <c r="W168">
        <v>0.89</v>
      </c>
      <c r="X168">
        <v>0.05</v>
      </c>
      <c r="Y168">
        <v>7.17</v>
      </c>
      <c r="Z168">
        <v>0.08</v>
      </c>
      <c r="AA168">
        <v>1.1100000000000001</v>
      </c>
      <c r="AB168">
        <v>0.02</v>
      </c>
      <c r="AW168">
        <v>588</v>
      </c>
      <c r="AX168">
        <v>30</v>
      </c>
      <c r="AY168">
        <v>275</v>
      </c>
      <c r="AZ168">
        <v>10</v>
      </c>
      <c r="BA168">
        <v>186</v>
      </c>
      <c r="BB168">
        <v>10</v>
      </c>
    </row>
    <row r="169" spans="1:54" x14ac:dyDescent="0.25">
      <c r="A169">
        <v>1300</v>
      </c>
      <c r="B169" t="s">
        <v>849</v>
      </c>
      <c r="C169">
        <v>58.04</v>
      </c>
      <c r="D169">
        <v>0.64</v>
      </c>
      <c r="E169">
        <v>1.1599999999999999</v>
      </c>
      <c r="F169">
        <v>0.05</v>
      </c>
      <c r="G169">
        <v>5.55</v>
      </c>
      <c r="H169">
        <v>0.19</v>
      </c>
      <c r="I169">
        <v>0.43</v>
      </c>
      <c r="J169">
        <v>0.01</v>
      </c>
      <c r="K169">
        <v>5.72</v>
      </c>
      <c r="L169">
        <v>7.0000000000000007E-2</v>
      </c>
      <c r="M169">
        <v>0.12</v>
      </c>
      <c r="N169">
        <v>0.01</v>
      </c>
      <c r="O169">
        <v>5.4</v>
      </c>
      <c r="P169">
        <v>0.17</v>
      </c>
      <c r="Q169">
        <v>6.97</v>
      </c>
      <c r="R169">
        <v>7.0000000000000007E-2</v>
      </c>
      <c r="S169">
        <v>2.48</v>
      </c>
      <c r="T169">
        <v>0.14000000000000001</v>
      </c>
      <c r="U169">
        <v>0.47</v>
      </c>
      <c r="V169">
        <v>0.02</v>
      </c>
      <c r="W169">
        <v>0.99</v>
      </c>
      <c r="X169">
        <v>7.0000000000000007E-2</v>
      </c>
      <c r="Y169">
        <v>11.15</v>
      </c>
      <c r="Z169">
        <v>0.15</v>
      </c>
      <c r="AA169">
        <v>1.38</v>
      </c>
      <c r="AB169">
        <v>0.03</v>
      </c>
      <c r="AW169">
        <v>100</v>
      </c>
      <c r="AX169">
        <v>15</v>
      </c>
      <c r="AY169">
        <v>140</v>
      </c>
      <c r="AZ169">
        <v>10</v>
      </c>
      <c r="BA169">
        <v>476</v>
      </c>
      <c r="BB169">
        <v>15</v>
      </c>
    </row>
    <row r="170" spans="1:54" x14ac:dyDescent="0.25">
      <c r="A170">
        <v>1300</v>
      </c>
      <c r="B170" t="s">
        <v>850</v>
      </c>
      <c r="C170">
        <v>50.12</v>
      </c>
      <c r="D170">
        <v>0.54</v>
      </c>
      <c r="E170">
        <v>0.95</v>
      </c>
      <c r="F170">
        <v>0.03</v>
      </c>
      <c r="G170">
        <v>8.6999999999999993</v>
      </c>
      <c r="H170">
        <v>0.19</v>
      </c>
      <c r="I170">
        <v>0.38</v>
      </c>
      <c r="J170">
        <v>0.01</v>
      </c>
      <c r="K170">
        <v>15.36</v>
      </c>
      <c r="L170">
        <v>0.2</v>
      </c>
      <c r="M170">
        <v>0.2</v>
      </c>
      <c r="N170">
        <v>0.01</v>
      </c>
      <c r="O170">
        <v>6.1</v>
      </c>
      <c r="P170">
        <v>0.17</v>
      </c>
      <c r="Q170">
        <v>5.73</v>
      </c>
      <c r="R170">
        <v>7.0000000000000007E-2</v>
      </c>
      <c r="S170">
        <v>3</v>
      </c>
      <c r="T170">
        <v>0.14000000000000001</v>
      </c>
      <c r="U170">
        <v>0.56999999999999995</v>
      </c>
      <c r="V170">
        <v>0.02</v>
      </c>
      <c r="W170">
        <v>1.01</v>
      </c>
      <c r="X170">
        <v>7.0000000000000007E-2</v>
      </c>
      <c r="Y170">
        <v>5.94</v>
      </c>
      <c r="Z170">
        <v>0.1</v>
      </c>
      <c r="AA170">
        <v>1.84</v>
      </c>
      <c r="AB170">
        <v>0.03</v>
      </c>
      <c r="AW170">
        <v>238</v>
      </c>
      <c r="AX170">
        <v>15</v>
      </c>
      <c r="AY170">
        <v>231</v>
      </c>
      <c r="AZ170">
        <v>10</v>
      </c>
      <c r="BA170">
        <v>100</v>
      </c>
      <c r="BB170">
        <v>5</v>
      </c>
    </row>
    <row r="171" spans="1:54" x14ac:dyDescent="0.25">
      <c r="A171">
        <v>1300</v>
      </c>
      <c r="B171" t="s">
        <v>851</v>
      </c>
      <c r="C171">
        <v>66.61</v>
      </c>
      <c r="D171">
        <v>0.75</v>
      </c>
      <c r="E171">
        <v>1.34</v>
      </c>
      <c r="F171">
        <v>0.05</v>
      </c>
      <c r="G171">
        <v>4.21</v>
      </c>
      <c r="H171">
        <v>0.1</v>
      </c>
      <c r="I171">
        <v>0.4</v>
      </c>
      <c r="J171">
        <v>0.01</v>
      </c>
      <c r="K171">
        <v>5.68</v>
      </c>
      <c r="L171">
        <v>7.0000000000000007E-2</v>
      </c>
      <c r="M171">
        <v>7.0000000000000007E-2</v>
      </c>
      <c r="N171">
        <v>0.01</v>
      </c>
      <c r="O171">
        <v>4.4400000000000004</v>
      </c>
      <c r="P171">
        <v>0.17</v>
      </c>
      <c r="Q171">
        <v>3.85</v>
      </c>
      <c r="R171">
        <v>0.04</v>
      </c>
      <c r="S171">
        <v>2.16</v>
      </c>
      <c r="T171">
        <v>7.0000000000000007E-2</v>
      </c>
      <c r="U171">
        <v>0.33</v>
      </c>
      <c r="V171">
        <v>0.01</v>
      </c>
      <c r="W171">
        <v>1.7</v>
      </c>
      <c r="X171">
        <v>0.09</v>
      </c>
      <c r="Y171">
        <v>7.84</v>
      </c>
      <c r="Z171">
        <v>0.1</v>
      </c>
      <c r="AA171">
        <v>1.23</v>
      </c>
      <c r="AB171">
        <v>0.02</v>
      </c>
      <c r="AW171">
        <v>52</v>
      </c>
      <c r="AX171">
        <v>10</v>
      </c>
      <c r="AY171">
        <v>89</v>
      </c>
      <c r="AZ171">
        <v>5</v>
      </c>
      <c r="BA171">
        <v>161</v>
      </c>
      <c r="BB171">
        <v>5</v>
      </c>
    </row>
    <row r="172" spans="1:54" x14ac:dyDescent="0.25">
      <c r="A172">
        <v>1300</v>
      </c>
      <c r="B172" t="s">
        <v>852</v>
      </c>
      <c r="C172">
        <v>45.03</v>
      </c>
      <c r="D172">
        <v>0.54</v>
      </c>
      <c r="E172">
        <v>0.88</v>
      </c>
      <c r="F172">
        <v>0.03</v>
      </c>
      <c r="G172">
        <v>8.93</v>
      </c>
      <c r="H172">
        <v>0.19</v>
      </c>
      <c r="I172">
        <v>0.43</v>
      </c>
      <c r="J172">
        <v>0.01</v>
      </c>
      <c r="K172">
        <v>15.52</v>
      </c>
      <c r="L172">
        <v>0.2</v>
      </c>
      <c r="M172">
        <v>0.27</v>
      </c>
      <c r="N172">
        <v>0.01</v>
      </c>
      <c r="O172">
        <v>7.18</v>
      </c>
      <c r="P172">
        <v>0.17</v>
      </c>
      <c r="Q172">
        <v>7.52</v>
      </c>
      <c r="R172">
        <v>0.08</v>
      </c>
      <c r="S172">
        <v>2.99</v>
      </c>
      <c r="T172">
        <v>0.14000000000000001</v>
      </c>
      <c r="U172">
        <v>0.48</v>
      </c>
      <c r="V172">
        <v>0.02</v>
      </c>
      <c r="W172">
        <v>0.84</v>
      </c>
      <c r="X172">
        <v>0.05</v>
      </c>
      <c r="Y172">
        <v>8.6199999999999992</v>
      </c>
      <c r="Z172">
        <v>0.1</v>
      </c>
      <c r="AA172">
        <v>1.21</v>
      </c>
      <c r="AB172">
        <v>0.02</v>
      </c>
      <c r="AW172">
        <v>322</v>
      </c>
      <c r="AX172">
        <v>20</v>
      </c>
      <c r="AY172">
        <v>188</v>
      </c>
      <c r="AZ172">
        <v>10</v>
      </c>
      <c r="BA172">
        <v>125</v>
      </c>
      <c r="BB172">
        <v>5</v>
      </c>
    </row>
    <row r="173" spans="1:54" x14ac:dyDescent="0.25">
      <c r="A173">
        <v>1300</v>
      </c>
      <c r="B173" t="s">
        <v>853</v>
      </c>
      <c r="C173">
        <v>49.03</v>
      </c>
      <c r="D173">
        <v>0.54</v>
      </c>
      <c r="E173">
        <v>0.93</v>
      </c>
      <c r="F173">
        <v>0.03</v>
      </c>
      <c r="G173">
        <v>8.85</v>
      </c>
      <c r="H173">
        <v>0.19</v>
      </c>
      <c r="I173">
        <v>0.38</v>
      </c>
      <c r="J173">
        <v>0.01</v>
      </c>
      <c r="K173">
        <v>14.57</v>
      </c>
      <c r="L173">
        <v>0.2</v>
      </c>
      <c r="M173">
        <v>0.26</v>
      </c>
      <c r="N173">
        <v>0.01</v>
      </c>
      <c r="O173">
        <v>6.23</v>
      </c>
      <c r="P173">
        <v>0.17</v>
      </c>
      <c r="Q173">
        <v>6.56</v>
      </c>
      <c r="R173">
        <v>7.0000000000000007E-2</v>
      </c>
      <c r="S173">
        <v>3.04</v>
      </c>
      <c r="T173">
        <v>0.14000000000000001</v>
      </c>
      <c r="U173">
        <v>0.49</v>
      </c>
      <c r="V173">
        <v>0.02</v>
      </c>
      <c r="W173">
        <v>0.91</v>
      </c>
      <c r="X173">
        <v>0.05</v>
      </c>
      <c r="Y173">
        <v>6.58</v>
      </c>
      <c r="Z173">
        <v>0.08</v>
      </c>
      <c r="AA173">
        <v>2.08</v>
      </c>
      <c r="AB173">
        <v>0.03</v>
      </c>
      <c r="AW173">
        <v>248</v>
      </c>
      <c r="AX173">
        <v>15</v>
      </c>
      <c r="AY173">
        <v>249</v>
      </c>
      <c r="AZ173">
        <v>10</v>
      </c>
      <c r="BA173">
        <v>76</v>
      </c>
      <c r="BB173">
        <v>5</v>
      </c>
    </row>
    <row r="174" spans="1:54" x14ac:dyDescent="0.25">
      <c r="A174">
        <v>1318</v>
      </c>
      <c r="B174" t="s">
        <v>854</v>
      </c>
      <c r="C174">
        <v>54.58</v>
      </c>
      <c r="D174">
        <v>0.64</v>
      </c>
      <c r="E174">
        <v>1.01</v>
      </c>
      <c r="F174">
        <v>0.03</v>
      </c>
      <c r="G174">
        <v>5.95</v>
      </c>
      <c r="H174">
        <v>0.19</v>
      </c>
      <c r="I174">
        <v>0.41</v>
      </c>
      <c r="J174">
        <v>0.01</v>
      </c>
      <c r="K174">
        <v>6.9</v>
      </c>
      <c r="L174">
        <v>0.13</v>
      </c>
      <c r="M174">
        <v>0.12</v>
      </c>
      <c r="N174">
        <v>0.01</v>
      </c>
      <c r="O174">
        <v>5.22</v>
      </c>
      <c r="P174">
        <v>0.17</v>
      </c>
      <c r="Q174">
        <v>7.54</v>
      </c>
      <c r="R174">
        <v>0.08</v>
      </c>
      <c r="S174">
        <v>2.63</v>
      </c>
      <c r="T174">
        <v>0.14000000000000001</v>
      </c>
      <c r="U174">
        <v>0.47</v>
      </c>
      <c r="V174">
        <v>0.02</v>
      </c>
      <c r="W174">
        <v>1.18</v>
      </c>
      <c r="X174">
        <v>7.0000000000000007E-2</v>
      </c>
      <c r="Y174">
        <v>11.9</v>
      </c>
      <c r="Z174">
        <v>0.15</v>
      </c>
      <c r="AA174">
        <v>1.9</v>
      </c>
      <c r="AB174">
        <v>0.04</v>
      </c>
      <c r="AW174">
        <v>111</v>
      </c>
      <c r="AX174">
        <v>15</v>
      </c>
      <c r="AY174">
        <v>111</v>
      </c>
      <c r="AZ174">
        <v>10</v>
      </c>
      <c r="BA174">
        <v>355</v>
      </c>
      <c r="BB174">
        <v>15</v>
      </c>
    </row>
    <row r="175" spans="1:54" x14ac:dyDescent="0.25">
      <c r="A175">
        <v>1318</v>
      </c>
      <c r="B175" t="s">
        <v>855</v>
      </c>
      <c r="C175">
        <v>54.86</v>
      </c>
      <c r="D175">
        <v>0.64</v>
      </c>
      <c r="E175">
        <v>0.91</v>
      </c>
      <c r="F175">
        <v>0.03</v>
      </c>
      <c r="G175">
        <v>5.78</v>
      </c>
      <c r="H175">
        <v>0.19</v>
      </c>
      <c r="I175">
        <v>0.34</v>
      </c>
      <c r="J175">
        <v>0.01</v>
      </c>
      <c r="K175">
        <v>9.82</v>
      </c>
      <c r="L175">
        <v>0.13</v>
      </c>
      <c r="M175">
        <v>0.1</v>
      </c>
      <c r="N175">
        <v>0.01</v>
      </c>
      <c r="O175">
        <v>3.9</v>
      </c>
      <c r="P175">
        <v>0.08</v>
      </c>
      <c r="Q175">
        <v>6.57</v>
      </c>
      <c r="R175">
        <v>7.0000000000000007E-2</v>
      </c>
      <c r="S175">
        <v>2.67</v>
      </c>
      <c r="T175">
        <v>0.14000000000000001</v>
      </c>
      <c r="U175">
        <v>0.43</v>
      </c>
      <c r="V175">
        <v>0.02</v>
      </c>
      <c r="W175">
        <v>1.06</v>
      </c>
      <c r="X175">
        <v>7.0000000000000007E-2</v>
      </c>
      <c r="Y175">
        <v>11.2</v>
      </c>
      <c r="Z175">
        <v>0.12</v>
      </c>
      <c r="AA175">
        <v>2.15</v>
      </c>
      <c r="AB175">
        <v>0.03</v>
      </c>
      <c r="AW175">
        <v>171</v>
      </c>
      <c r="AX175">
        <v>10</v>
      </c>
      <c r="AY175">
        <v>97</v>
      </c>
      <c r="AZ175">
        <v>5</v>
      </c>
      <c r="BA175">
        <v>214</v>
      </c>
      <c r="BB175">
        <v>10</v>
      </c>
    </row>
    <row r="176" spans="1:54" x14ac:dyDescent="0.25">
      <c r="A176">
        <v>1319</v>
      </c>
      <c r="B176" t="s">
        <v>856</v>
      </c>
      <c r="C176">
        <v>63.1</v>
      </c>
      <c r="D176">
        <v>0.64</v>
      </c>
      <c r="E176">
        <v>1.1200000000000001</v>
      </c>
      <c r="F176">
        <v>0.05</v>
      </c>
      <c r="G176">
        <v>4.3499999999999996</v>
      </c>
      <c r="H176">
        <v>0.1</v>
      </c>
      <c r="I176">
        <v>0.37</v>
      </c>
      <c r="J176">
        <v>0.01</v>
      </c>
      <c r="K176">
        <v>5.0999999999999996</v>
      </c>
      <c r="L176">
        <v>7.0000000000000007E-2</v>
      </c>
      <c r="M176">
        <v>0.08</v>
      </c>
      <c r="N176">
        <v>0.01</v>
      </c>
      <c r="O176">
        <v>3.96</v>
      </c>
      <c r="P176">
        <v>0.08</v>
      </c>
      <c r="Q176">
        <v>5.01</v>
      </c>
      <c r="R176">
        <v>0.06</v>
      </c>
      <c r="S176">
        <v>2.4900000000000002</v>
      </c>
      <c r="T176">
        <v>0.14000000000000001</v>
      </c>
      <c r="U176">
        <v>0.49</v>
      </c>
      <c r="V176">
        <v>0.02</v>
      </c>
      <c r="W176">
        <v>1.5</v>
      </c>
      <c r="X176">
        <v>0.09</v>
      </c>
      <c r="Y176">
        <v>9.6199999999999992</v>
      </c>
      <c r="Z176">
        <v>0.1</v>
      </c>
      <c r="AA176">
        <v>2.68</v>
      </c>
      <c r="AB176">
        <v>0.03</v>
      </c>
      <c r="AW176">
        <v>76</v>
      </c>
      <c r="AX176">
        <v>10</v>
      </c>
      <c r="AY176">
        <v>104</v>
      </c>
      <c r="AZ176">
        <v>5</v>
      </c>
      <c r="BA176">
        <v>441</v>
      </c>
      <c r="BB176">
        <v>15</v>
      </c>
    </row>
    <row r="177" spans="1:54" x14ac:dyDescent="0.25">
      <c r="A177">
        <v>1324</v>
      </c>
      <c r="B177" t="s">
        <v>857</v>
      </c>
      <c r="C177">
        <v>63.58</v>
      </c>
      <c r="D177">
        <v>0.64</v>
      </c>
      <c r="E177">
        <v>1.07</v>
      </c>
      <c r="F177">
        <v>0.03</v>
      </c>
      <c r="G177">
        <v>2.12</v>
      </c>
      <c r="H177">
        <v>0.1</v>
      </c>
      <c r="I177">
        <v>0.34</v>
      </c>
      <c r="J177">
        <v>0.01</v>
      </c>
      <c r="K177">
        <v>4.3099999999999996</v>
      </c>
      <c r="L177">
        <v>7.0000000000000007E-2</v>
      </c>
      <c r="M177">
        <v>0.06</v>
      </c>
      <c r="N177">
        <v>0.04</v>
      </c>
      <c r="O177">
        <v>1.06</v>
      </c>
      <c r="P177">
        <v>0.83</v>
      </c>
      <c r="Q177">
        <v>8.58</v>
      </c>
      <c r="R177">
        <v>0.1</v>
      </c>
      <c r="S177">
        <v>1.59</v>
      </c>
      <c r="T177">
        <v>0.14000000000000001</v>
      </c>
      <c r="U177">
        <v>0.28999999999999998</v>
      </c>
      <c r="V177">
        <v>0.01</v>
      </c>
      <c r="W177">
        <v>1.49</v>
      </c>
      <c r="X177">
        <v>0.09</v>
      </c>
      <c r="Y177">
        <v>15.07</v>
      </c>
      <c r="Z177">
        <v>0.2</v>
      </c>
      <c r="AA177">
        <v>0.31</v>
      </c>
      <c r="AB177">
        <v>0.02</v>
      </c>
      <c r="AW177">
        <v>43</v>
      </c>
      <c r="AX177">
        <v>24</v>
      </c>
      <c r="AY177">
        <v>77</v>
      </c>
      <c r="AZ177">
        <v>10</v>
      </c>
      <c r="BA177">
        <v>82</v>
      </c>
      <c r="BB177">
        <v>5</v>
      </c>
    </row>
    <row r="178" spans="1:54" x14ac:dyDescent="0.25">
      <c r="A178">
        <v>1326</v>
      </c>
      <c r="B178" t="s">
        <v>858</v>
      </c>
      <c r="C178">
        <v>59.75</v>
      </c>
      <c r="D178">
        <v>0.64</v>
      </c>
      <c r="E178">
        <v>1.1100000000000001</v>
      </c>
      <c r="F178">
        <v>0.05</v>
      </c>
      <c r="G178">
        <v>3.09</v>
      </c>
      <c r="H178">
        <v>0.1</v>
      </c>
      <c r="I178">
        <v>0.28999999999999998</v>
      </c>
      <c r="J178">
        <v>0.01</v>
      </c>
      <c r="K178">
        <v>8.2200000000000006</v>
      </c>
      <c r="L178">
        <v>0.13</v>
      </c>
      <c r="M178">
        <v>0.09</v>
      </c>
      <c r="N178">
        <v>0.01</v>
      </c>
      <c r="O178">
        <v>1.55</v>
      </c>
      <c r="P178">
        <v>0.83</v>
      </c>
      <c r="Q178">
        <v>8.2200000000000006</v>
      </c>
      <c r="R178">
        <v>0.08</v>
      </c>
      <c r="S178">
        <v>1.92</v>
      </c>
      <c r="T178">
        <v>7.0000000000000007E-2</v>
      </c>
      <c r="U178">
        <v>0.31</v>
      </c>
      <c r="V178">
        <v>0.01</v>
      </c>
      <c r="W178">
        <v>1.33</v>
      </c>
      <c r="X178">
        <v>7.0000000000000007E-2</v>
      </c>
      <c r="Y178">
        <v>13.69</v>
      </c>
      <c r="Z178">
        <v>0.15</v>
      </c>
      <c r="AA178">
        <v>0.32</v>
      </c>
      <c r="AB178">
        <v>0.01</v>
      </c>
      <c r="AW178">
        <v>110</v>
      </c>
      <c r="AX178">
        <v>10</v>
      </c>
      <c r="AY178">
        <v>88</v>
      </c>
      <c r="AZ178">
        <v>5</v>
      </c>
      <c r="BA178">
        <v>60</v>
      </c>
      <c r="BB178">
        <v>5</v>
      </c>
    </row>
    <row r="179" spans="1:54" x14ac:dyDescent="0.25">
      <c r="A179">
        <v>1327</v>
      </c>
      <c r="B179" t="s">
        <v>859</v>
      </c>
      <c r="C179">
        <v>45.76</v>
      </c>
      <c r="D179">
        <v>0.54</v>
      </c>
      <c r="E179">
        <v>1</v>
      </c>
      <c r="F179">
        <v>0.03</v>
      </c>
      <c r="G179">
        <v>8.02</v>
      </c>
      <c r="H179">
        <v>0.19</v>
      </c>
      <c r="I179">
        <v>0.45</v>
      </c>
      <c r="J179">
        <v>0.03</v>
      </c>
      <c r="K179">
        <v>17.39</v>
      </c>
      <c r="L179">
        <v>0.2</v>
      </c>
      <c r="M179">
        <v>0.32</v>
      </c>
      <c r="N179">
        <v>0.01</v>
      </c>
      <c r="O179">
        <v>7.45</v>
      </c>
      <c r="P179">
        <v>0.17</v>
      </c>
      <c r="Q179">
        <v>6.37</v>
      </c>
      <c r="R179">
        <v>7.0000000000000007E-2</v>
      </c>
      <c r="S179">
        <v>2.67</v>
      </c>
      <c r="T179">
        <v>0.14000000000000001</v>
      </c>
      <c r="U179">
        <v>0.44</v>
      </c>
      <c r="V179">
        <v>0.02</v>
      </c>
      <c r="W179">
        <v>0.94</v>
      </c>
      <c r="X179">
        <v>7.0000000000000007E-2</v>
      </c>
      <c r="Y179">
        <v>7.83</v>
      </c>
      <c r="Z179">
        <v>0.12</v>
      </c>
      <c r="AA179">
        <v>1.25</v>
      </c>
      <c r="AB179">
        <v>0.04</v>
      </c>
      <c r="AW179">
        <v>350</v>
      </c>
      <c r="AX179">
        <v>24</v>
      </c>
      <c r="AY179">
        <v>227</v>
      </c>
      <c r="AZ179">
        <v>15</v>
      </c>
      <c r="BA179">
        <v>82</v>
      </c>
      <c r="BB179">
        <v>5</v>
      </c>
    </row>
    <row r="180" spans="1:54" x14ac:dyDescent="0.25">
      <c r="A180">
        <v>1330</v>
      </c>
      <c r="B180" t="s">
        <v>860</v>
      </c>
      <c r="C180">
        <v>43.49</v>
      </c>
      <c r="D180">
        <v>0.54</v>
      </c>
      <c r="E180">
        <v>0.93</v>
      </c>
      <c r="F180">
        <v>0.03</v>
      </c>
      <c r="G180">
        <v>9.0299999999999994</v>
      </c>
      <c r="H180">
        <v>0.19</v>
      </c>
      <c r="I180">
        <v>0.37</v>
      </c>
      <c r="J180">
        <v>0.01</v>
      </c>
      <c r="K180">
        <v>19.72</v>
      </c>
      <c r="L180">
        <v>0.26</v>
      </c>
      <c r="M180">
        <v>0.4</v>
      </c>
      <c r="N180">
        <v>0.01</v>
      </c>
      <c r="O180">
        <v>9.14</v>
      </c>
      <c r="P180">
        <v>0.25</v>
      </c>
      <c r="Q180">
        <v>6.35</v>
      </c>
      <c r="R180">
        <v>7.0000000000000007E-2</v>
      </c>
      <c r="S180">
        <v>2.83</v>
      </c>
      <c r="T180">
        <v>0.14000000000000001</v>
      </c>
      <c r="U180">
        <v>0.4</v>
      </c>
      <c r="V180">
        <v>0.02</v>
      </c>
      <c r="W180">
        <v>0.91</v>
      </c>
      <c r="X180">
        <v>0.05</v>
      </c>
      <c r="Y180">
        <v>5.04</v>
      </c>
      <c r="Z180">
        <v>0.08</v>
      </c>
      <c r="AA180">
        <v>1.24</v>
      </c>
      <c r="AB180">
        <v>0.02</v>
      </c>
      <c r="AW180">
        <v>436</v>
      </c>
      <c r="AX180">
        <v>24</v>
      </c>
      <c r="AY180">
        <v>271</v>
      </c>
      <c r="AZ180">
        <v>10</v>
      </c>
      <c r="BA180">
        <v>140</v>
      </c>
      <c r="BB180">
        <v>5</v>
      </c>
    </row>
    <row r="181" spans="1:54" x14ac:dyDescent="0.25">
      <c r="A181">
        <v>1330</v>
      </c>
      <c r="B181" t="s">
        <v>861</v>
      </c>
      <c r="C181">
        <v>42.84</v>
      </c>
      <c r="D181">
        <v>0.54</v>
      </c>
      <c r="E181">
        <v>0.87</v>
      </c>
      <c r="F181">
        <v>0.03</v>
      </c>
      <c r="G181">
        <v>9.0299999999999994</v>
      </c>
      <c r="H181">
        <v>0.19</v>
      </c>
      <c r="I181">
        <v>0.38</v>
      </c>
      <c r="J181">
        <v>0.01</v>
      </c>
      <c r="K181">
        <v>20.329999999999998</v>
      </c>
      <c r="L181">
        <v>0.26</v>
      </c>
      <c r="M181">
        <v>0.38</v>
      </c>
      <c r="N181">
        <v>0.01</v>
      </c>
      <c r="O181">
        <v>9.07</v>
      </c>
      <c r="P181">
        <v>0.25</v>
      </c>
      <c r="Q181">
        <v>6.4</v>
      </c>
      <c r="R181">
        <v>7.0000000000000007E-2</v>
      </c>
      <c r="S181">
        <v>2.8</v>
      </c>
      <c r="T181">
        <v>0.14000000000000001</v>
      </c>
      <c r="U181">
        <v>0.41</v>
      </c>
      <c r="V181">
        <v>0.02</v>
      </c>
      <c r="W181">
        <v>0.92</v>
      </c>
      <c r="X181">
        <v>7.0000000000000007E-2</v>
      </c>
      <c r="Y181">
        <v>5.28</v>
      </c>
      <c r="Z181">
        <v>0.08</v>
      </c>
      <c r="AA181">
        <v>1.1599999999999999</v>
      </c>
      <c r="AB181">
        <v>0.02</v>
      </c>
      <c r="AW181">
        <v>483</v>
      </c>
      <c r="AX181">
        <v>24</v>
      </c>
      <c r="AY181">
        <v>292</v>
      </c>
      <c r="AZ181">
        <v>10</v>
      </c>
      <c r="BA181">
        <v>142</v>
      </c>
      <c r="BB181">
        <v>5</v>
      </c>
    </row>
    <row r="182" spans="1:54" x14ac:dyDescent="0.25">
      <c r="A182">
        <v>1337</v>
      </c>
      <c r="B182" t="s">
        <v>862</v>
      </c>
      <c r="C182">
        <v>44.67</v>
      </c>
      <c r="D182">
        <v>0.54</v>
      </c>
      <c r="E182">
        <v>0.95</v>
      </c>
      <c r="F182">
        <v>0.03</v>
      </c>
      <c r="G182">
        <v>9.49</v>
      </c>
      <c r="H182">
        <v>0.28999999999999998</v>
      </c>
      <c r="I182">
        <v>0.38</v>
      </c>
      <c r="J182">
        <v>0.01</v>
      </c>
      <c r="K182">
        <v>22.13</v>
      </c>
      <c r="L182">
        <v>0.26</v>
      </c>
      <c r="M182">
        <v>0.41</v>
      </c>
      <c r="N182">
        <v>0.01</v>
      </c>
      <c r="O182">
        <v>9.9600000000000009</v>
      </c>
      <c r="P182">
        <v>0.25</v>
      </c>
      <c r="Q182">
        <v>6.54</v>
      </c>
      <c r="R182">
        <v>7.0000000000000007E-2</v>
      </c>
      <c r="S182">
        <v>2.92</v>
      </c>
      <c r="T182">
        <v>0.14000000000000001</v>
      </c>
      <c r="U182">
        <v>0.33</v>
      </c>
      <c r="V182">
        <v>0.01</v>
      </c>
      <c r="W182">
        <v>0.78</v>
      </c>
      <c r="X182">
        <v>0.05</v>
      </c>
      <c r="Y182">
        <v>0.65</v>
      </c>
      <c r="Z182">
        <v>0.03</v>
      </c>
      <c r="AA182">
        <v>0.63</v>
      </c>
      <c r="AB182">
        <v>0.02</v>
      </c>
      <c r="AW182">
        <v>461</v>
      </c>
      <c r="AX182">
        <v>24</v>
      </c>
      <c r="AY182">
        <v>329</v>
      </c>
      <c r="AZ182">
        <v>10</v>
      </c>
      <c r="BA182">
        <v>141</v>
      </c>
      <c r="BB182">
        <v>5</v>
      </c>
    </row>
    <row r="183" spans="1:54" x14ac:dyDescent="0.25">
      <c r="A183">
        <v>1339</v>
      </c>
      <c r="B183" t="s">
        <v>863</v>
      </c>
      <c r="C183">
        <v>47.31</v>
      </c>
      <c r="D183">
        <v>0.54</v>
      </c>
      <c r="E183">
        <v>0.92</v>
      </c>
      <c r="F183">
        <v>0.03</v>
      </c>
      <c r="G183">
        <v>10.62</v>
      </c>
      <c r="H183">
        <v>0.28999999999999998</v>
      </c>
      <c r="I183">
        <v>0.33</v>
      </c>
      <c r="J183">
        <v>0.01</v>
      </c>
      <c r="K183">
        <v>19.04</v>
      </c>
      <c r="L183">
        <v>0.2</v>
      </c>
      <c r="M183">
        <v>0.38</v>
      </c>
      <c r="N183">
        <v>0.01</v>
      </c>
      <c r="O183">
        <v>8.6</v>
      </c>
      <c r="P183">
        <v>0.25</v>
      </c>
      <c r="Q183">
        <v>6.63</v>
      </c>
      <c r="R183">
        <v>7.0000000000000007E-2</v>
      </c>
      <c r="S183">
        <v>3.21</v>
      </c>
      <c r="T183">
        <v>0.14000000000000001</v>
      </c>
      <c r="U183">
        <v>0.43</v>
      </c>
      <c r="V183">
        <v>0.02</v>
      </c>
      <c r="W183">
        <v>0.72</v>
      </c>
      <c r="X183">
        <v>0.05</v>
      </c>
      <c r="Y183">
        <v>1.04</v>
      </c>
      <c r="Z183">
        <v>0.03</v>
      </c>
      <c r="AA183">
        <v>0.61</v>
      </c>
      <c r="AB183">
        <v>0.01</v>
      </c>
      <c r="AW183">
        <v>416</v>
      </c>
      <c r="AX183">
        <v>24</v>
      </c>
      <c r="AY183">
        <v>350</v>
      </c>
      <c r="AZ183">
        <v>15</v>
      </c>
      <c r="BA183">
        <v>115</v>
      </c>
      <c r="BB183">
        <v>5</v>
      </c>
    </row>
    <row r="184" spans="1:54" x14ac:dyDescent="0.25">
      <c r="A184">
        <v>1341</v>
      </c>
      <c r="B184" t="s">
        <v>864</v>
      </c>
      <c r="C184">
        <v>44.1</v>
      </c>
      <c r="D184">
        <v>0.54</v>
      </c>
      <c r="E184">
        <v>0.91</v>
      </c>
      <c r="F184">
        <v>0.03</v>
      </c>
      <c r="G184">
        <v>9.43</v>
      </c>
      <c r="H184">
        <v>0.19</v>
      </c>
      <c r="I184">
        <v>0.34</v>
      </c>
      <c r="J184">
        <v>0.01</v>
      </c>
      <c r="K184">
        <v>18.39</v>
      </c>
      <c r="L184">
        <v>0.2</v>
      </c>
      <c r="M184">
        <v>0.37</v>
      </c>
      <c r="N184">
        <v>0.01</v>
      </c>
      <c r="O184">
        <v>8.49</v>
      </c>
      <c r="P184">
        <v>0.25</v>
      </c>
      <c r="Q184">
        <v>6.57</v>
      </c>
      <c r="R184">
        <v>7.0000000000000007E-2</v>
      </c>
      <c r="S184">
        <v>2.99</v>
      </c>
      <c r="T184">
        <v>0.14000000000000001</v>
      </c>
      <c r="U184">
        <v>0.45</v>
      </c>
      <c r="V184">
        <v>0.02</v>
      </c>
      <c r="W184">
        <v>0.98</v>
      </c>
      <c r="X184">
        <v>7.0000000000000007E-2</v>
      </c>
      <c r="Y184">
        <v>5.59</v>
      </c>
      <c r="Z184">
        <v>0.08</v>
      </c>
      <c r="AA184">
        <v>1.25</v>
      </c>
      <c r="AB184">
        <v>0.02</v>
      </c>
      <c r="AW184">
        <v>399</v>
      </c>
      <c r="AX184">
        <v>20</v>
      </c>
      <c r="AY184">
        <v>315</v>
      </c>
      <c r="AZ184">
        <v>10</v>
      </c>
      <c r="BA184">
        <v>147</v>
      </c>
      <c r="BB184">
        <v>5</v>
      </c>
    </row>
    <row r="185" spans="1:54" x14ac:dyDescent="0.25">
      <c r="A185">
        <v>1341</v>
      </c>
      <c r="B185" t="s">
        <v>865</v>
      </c>
      <c r="C185">
        <v>43.44</v>
      </c>
      <c r="D185">
        <v>0.54</v>
      </c>
      <c r="E185">
        <v>0.81</v>
      </c>
      <c r="F185">
        <v>0.03</v>
      </c>
      <c r="G185">
        <v>11.78</v>
      </c>
      <c r="H185">
        <v>0.28999999999999998</v>
      </c>
      <c r="I185">
        <v>0.49</v>
      </c>
      <c r="J185">
        <v>0.01</v>
      </c>
      <c r="K185">
        <v>19.04</v>
      </c>
      <c r="L185">
        <v>0.2</v>
      </c>
      <c r="M185">
        <v>0.32</v>
      </c>
      <c r="N185">
        <v>0.01</v>
      </c>
      <c r="O185">
        <v>9.23</v>
      </c>
      <c r="P185">
        <v>0.25</v>
      </c>
      <c r="Q185">
        <v>4.9800000000000004</v>
      </c>
      <c r="R185">
        <v>0.06</v>
      </c>
      <c r="S185">
        <v>2.64</v>
      </c>
      <c r="T185">
        <v>0.14000000000000001</v>
      </c>
      <c r="U185">
        <v>0.41</v>
      </c>
      <c r="V185">
        <v>0.02</v>
      </c>
      <c r="W185">
        <v>0.87</v>
      </c>
      <c r="X185">
        <v>0.05</v>
      </c>
      <c r="Y185">
        <v>3.94</v>
      </c>
      <c r="Z185">
        <v>0.05</v>
      </c>
      <c r="AA185">
        <v>1.9</v>
      </c>
      <c r="AB185">
        <v>0.03</v>
      </c>
      <c r="AW185">
        <v>590</v>
      </c>
      <c r="AX185">
        <v>30</v>
      </c>
      <c r="AY185">
        <v>308</v>
      </c>
      <c r="AZ185">
        <v>10</v>
      </c>
      <c r="BA185">
        <v>273</v>
      </c>
      <c r="BB185">
        <v>10</v>
      </c>
    </row>
    <row r="186" spans="1:54" x14ac:dyDescent="0.25">
      <c r="A186">
        <v>1348</v>
      </c>
      <c r="B186" t="s">
        <v>866</v>
      </c>
      <c r="C186">
        <v>44.68</v>
      </c>
      <c r="D186">
        <v>0.54</v>
      </c>
      <c r="E186">
        <v>0.86</v>
      </c>
      <c r="F186">
        <v>0.03</v>
      </c>
      <c r="G186">
        <v>13.29</v>
      </c>
      <c r="H186">
        <v>0.28999999999999998</v>
      </c>
      <c r="I186">
        <v>0.51</v>
      </c>
      <c r="J186">
        <v>0.01</v>
      </c>
      <c r="K186">
        <v>14.8</v>
      </c>
      <c r="L186">
        <v>0.2</v>
      </c>
      <c r="M186">
        <v>0.28999999999999998</v>
      </c>
      <c r="N186">
        <v>0.01</v>
      </c>
      <c r="O186">
        <v>7.68</v>
      </c>
      <c r="P186">
        <v>0.17</v>
      </c>
      <c r="Q186">
        <v>6.34</v>
      </c>
      <c r="R186">
        <v>7.0000000000000007E-2</v>
      </c>
      <c r="S186">
        <v>2.95</v>
      </c>
      <c r="T186">
        <v>0.14000000000000001</v>
      </c>
      <c r="U186">
        <v>0.42</v>
      </c>
      <c r="V186">
        <v>0.02</v>
      </c>
      <c r="W186">
        <v>0.86</v>
      </c>
      <c r="X186">
        <v>0.05</v>
      </c>
      <c r="Y186">
        <v>5.2</v>
      </c>
      <c r="Z186">
        <v>0.08</v>
      </c>
      <c r="AA186">
        <v>1.94</v>
      </c>
      <c r="AB186">
        <v>0.03</v>
      </c>
      <c r="AW186">
        <v>412</v>
      </c>
      <c r="AX186">
        <v>24</v>
      </c>
      <c r="AY186">
        <v>247</v>
      </c>
      <c r="AZ186">
        <v>10</v>
      </c>
      <c r="BA186">
        <v>722</v>
      </c>
      <c r="BB186">
        <v>24</v>
      </c>
    </row>
    <row r="187" spans="1:54" x14ac:dyDescent="0.25">
      <c r="A187">
        <v>1348</v>
      </c>
      <c r="B187" t="s">
        <v>867</v>
      </c>
      <c r="C187">
        <v>43.79</v>
      </c>
      <c r="D187">
        <v>0.54</v>
      </c>
      <c r="E187">
        <v>0.96</v>
      </c>
      <c r="F187">
        <v>0.03</v>
      </c>
      <c r="G187">
        <v>8.75</v>
      </c>
      <c r="H187">
        <v>0.19</v>
      </c>
      <c r="I187">
        <v>0.35</v>
      </c>
      <c r="J187">
        <v>0.01</v>
      </c>
      <c r="K187">
        <v>19.84</v>
      </c>
      <c r="L187">
        <v>0.26</v>
      </c>
      <c r="M187">
        <v>0.39</v>
      </c>
      <c r="N187">
        <v>0.01</v>
      </c>
      <c r="O187">
        <v>8.74</v>
      </c>
      <c r="P187">
        <v>0.25</v>
      </c>
      <c r="Q187">
        <v>6.84</v>
      </c>
      <c r="R187">
        <v>7.0000000000000007E-2</v>
      </c>
      <c r="S187">
        <v>2.79</v>
      </c>
      <c r="T187">
        <v>0.14000000000000001</v>
      </c>
      <c r="U187">
        <v>0.36</v>
      </c>
      <c r="V187">
        <v>0.01</v>
      </c>
      <c r="W187">
        <v>0.95</v>
      </c>
      <c r="X187">
        <v>7.0000000000000007E-2</v>
      </c>
      <c r="Y187">
        <v>4.96</v>
      </c>
      <c r="Z187">
        <v>0.08</v>
      </c>
      <c r="AA187">
        <v>1.1000000000000001</v>
      </c>
      <c r="AB187">
        <v>0.02</v>
      </c>
      <c r="AW187">
        <v>478</v>
      </c>
      <c r="AX187">
        <v>24</v>
      </c>
      <c r="AY187">
        <v>359</v>
      </c>
      <c r="AZ187">
        <v>15</v>
      </c>
      <c r="BA187">
        <v>381</v>
      </c>
      <c r="BB187">
        <v>15</v>
      </c>
    </row>
    <row r="188" spans="1:54" x14ac:dyDescent="0.25">
      <c r="A188">
        <v>1351</v>
      </c>
      <c r="B188" t="s">
        <v>868</v>
      </c>
      <c r="C188">
        <v>43.61</v>
      </c>
      <c r="D188">
        <v>0.54</v>
      </c>
      <c r="E188">
        <v>0.97</v>
      </c>
      <c r="F188">
        <v>0.03</v>
      </c>
      <c r="G188">
        <v>8.86</v>
      </c>
      <c r="H188">
        <v>0.19</v>
      </c>
      <c r="I188">
        <v>0.4</v>
      </c>
      <c r="J188">
        <v>0.01</v>
      </c>
      <c r="K188">
        <v>19.55</v>
      </c>
      <c r="L188">
        <v>0.26</v>
      </c>
      <c r="M188">
        <v>0.38</v>
      </c>
      <c r="N188">
        <v>0.01</v>
      </c>
      <c r="O188">
        <v>8.85</v>
      </c>
      <c r="P188">
        <v>0.25</v>
      </c>
      <c r="Q188">
        <v>6.69</v>
      </c>
      <c r="R188">
        <v>7.0000000000000007E-2</v>
      </c>
      <c r="S188">
        <v>2.73</v>
      </c>
      <c r="T188">
        <v>0.14000000000000001</v>
      </c>
      <c r="U188">
        <v>0.42</v>
      </c>
      <c r="V188">
        <v>0.02</v>
      </c>
      <c r="W188">
        <v>0.87</v>
      </c>
      <c r="X188">
        <v>0.05</v>
      </c>
      <c r="Y188">
        <v>5.39</v>
      </c>
      <c r="Z188">
        <v>0.1</v>
      </c>
      <c r="AA188">
        <v>1.0900000000000001</v>
      </c>
      <c r="AB188">
        <v>0.03</v>
      </c>
      <c r="AW188">
        <v>520</v>
      </c>
      <c r="AX188">
        <v>30</v>
      </c>
      <c r="AY188">
        <v>310</v>
      </c>
      <c r="AZ188">
        <v>10</v>
      </c>
      <c r="BA188">
        <v>156</v>
      </c>
      <c r="BB188">
        <v>10</v>
      </c>
    </row>
    <row r="189" spans="1:54" x14ac:dyDescent="0.25">
      <c r="A189">
        <v>1351</v>
      </c>
      <c r="B189" t="s">
        <v>869</v>
      </c>
      <c r="C189">
        <v>50.1</v>
      </c>
      <c r="D189">
        <v>0.54</v>
      </c>
      <c r="E189">
        <v>0.93</v>
      </c>
      <c r="F189">
        <v>0.03</v>
      </c>
      <c r="G189">
        <v>7.47</v>
      </c>
      <c r="H189">
        <v>0.19</v>
      </c>
      <c r="I189">
        <v>0.35</v>
      </c>
      <c r="J189">
        <v>0.01</v>
      </c>
      <c r="K189">
        <v>15.42</v>
      </c>
      <c r="L189">
        <v>0.2</v>
      </c>
      <c r="M189">
        <v>0.18</v>
      </c>
      <c r="N189">
        <v>0.01</v>
      </c>
      <c r="O189">
        <v>5.33</v>
      </c>
      <c r="P189">
        <v>0.17</v>
      </c>
      <c r="Q189">
        <v>5.34</v>
      </c>
      <c r="R189">
        <v>0.06</v>
      </c>
      <c r="S189">
        <v>2.99</v>
      </c>
      <c r="T189">
        <v>0.14000000000000001</v>
      </c>
      <c r="U189">
        <v>0.51</v>
      </c>
      <c r="V189">
        <v>0.02</v>
      </c>
      <c r="W189">
        <v>1.85</v>
      </c>
      <c r="X189">
        <v>0.12</v>
      </c>
      <c r="Y189">
        <v>7.07</v>
      </c>
      <c r="Z189">
        <v>0.1</v>
      </c>
      <c r="AA189">
        <v>2.36</v>
      </c>
      <c r="AB189">
        <v>0.03</v>
      </c>
      <c r="AW189">
        <v>226</v>
      </c>
      <c r="AX189">
        <v>15</v>
      </c>
      <c r="AY189">
        <v>155</v>
      </c>
      <c r="AZ189">
        <v>10</v>
      </c>
      <c r="BA189">
        <v>228</v>
      </c>
      <c r="BB189">
        <v>10</v>
      </c>
    </row>
    <row r="190" spans="1:54" x14ac:dyDescent="0.25">
      <c r="A190">
        <v>1355</v>
      </c>
      <c r="B190" t="s">
        <v>870</v>
      </c>
      <c r="C190">
        <v>51.96</v>
      </c>
      <c r="D190">
        <v>0.54</v>
      </c>
      <c r="E190">
        <v>1.03</v>
      </c>
      <c r="F190">
        <v>0.03</v>
      </c>
      <c r="G190">
        <v>10.1</v>
      </c>
      <c r="H190">
        <v>0.28999999999999998</v>
      </c>
      <c r="I190">
        <v>0.3</v>
      </c>
      <c r="J190">
        <v>0.01</v>
      </c>
      <c r="K190">
        <v>17.739999999999998</v>
      </c>
      <c r="L190">
        <v>0.2</v>
      </c>
      <c r="M190">
        <v>0.24</v>
      </c>
      <c r="N190">
        <v>0.01</v>
      </c>
      <c r="O190">
        <v>5.25</v>
      </c>
      <c r="P190">
        <v>0.17</v>
      </c>
      <c r="Q190">
        <v>3.78</v>
      </c>
      <c r="R190">
        <v>0.04</v>
      </c>
      <c r="S190">
        <v>2.71</v>
      </c>
      <c r="T190">
        <v>0.14000000000000001</v>
      </c>
      <c r="U190">
        <v>1.02</v>
      </c>
      <c r="V190">
        <v>0.04</v>
      </c>
      <c r="W190">
        <v>0.56999999999999995</v>
      </c>
      <c r="X190">
        <v>0.05</v>
      </c>
      <c r="Y190">
        <v>4.22</v>
      </c>
      <c r="Z190">
        <v>0.05</v>
      </c>
      <c r="AA190">
        <v>0.82</v>
      </c>
      <c r="AB190">
        <v>0.02</v>
      </c>
      <c r="AW190">
        <v>710</v>
      </c>
      <c r="AX190">
        <v>40</v>
      </c>
      <c r="AY190">
        <v>848</v>
      </c>
      <c r="AZ190">
        <v>30</v>
      </c>
      <c r="BA190">
        <v>87</v>
      </c>
      <c r="BB190">
        <v>5</v>
      </c>
    </row>
    <row r="191" spans="1:54" x14ac:dyDescent="0.25">
      <c r="A191">
        <v>1358</v>
      </c>
      <c r="B191" t="s">
        <v>871</v>
      </c>
      <c r="C191">
        <v>52.95</v>
      </c>
      <c r="D191">
        <v>0.54</v>
      </c>
      <c r="E191">
        <v>1.07</v>
      </c>
      <c r="F191">
        <v>0.03</v>
      </c>
      <c r="G191">
        <v>9.65</v>
      </c>
      <c r="H191">
        <v>0.28999999999999998</v>
      </c>
      <c r="I191">
        <v>0.34</v>
      </c>
      <c r="J191">
        <v>0.01</v>
      </c>
      <c r="K191">
        <v>16.170000000000002</v>
      </c>
      <c r="L191">
        <v>0.2</v>
      </c>
      <c r="M191">
        <v>0.23</v>
      </c>
      <c r="N191">
        <v>0.01</v>
      </c>
      <c r="O191">
        <v>5.71</v>
      </c>
      <c r="P191">
        <v>0.17</v>
      </c>
      <c r="Q191">
        <v>4.34</v>
      </c>
      <c r="R191">
        <v>0.06</v>
      </c>
      <c r="S191">
        <v>2.5</v>
      </c>
      <c r="T191">
        <v>0.14000000000000001</v>
      </c>
      <c r="U191">
        <v>0.87</v>
      </c>
      <c r="V191">
        <v>0.04</v>
      </c>
      <c r="W191">
        <v>0.53</v>
      </c>
      <c r="X191">
        <v>0.05</v>
      </c>
      <c r="Y191">
        <v>4.76</v>
      </c>
      <c r="Z191">
        <v>0.08</v>
      </c>
      <c r="AA191">
        <v>0.56999999999999995</v>
      </c>
      <c r="AB191">
        <v>0.02</v>
      </c>
      <c r="AW191">
        <v>652</v>
      </c>
      <c r="AX191">
        <v>35</v>
      </c>
      <c r="AY191">
        <v>1096</v>
      </c>
      <c r="AZ191">
        <v>35</v>
      </c>
      <c r="BA191">
        <v>234</v>
      </c>
      <c r="BB191">
        <v>10</v>
      </c>
    </row>
    <row r="192" spans="1:54" x14ac:dyDescent="0.25">
      <c r="A192">
        <v>1359</v>
      </c>
      <c r="B192" t="s">
        <v>872</v>
      </c>
      <c r="C192">
        <v>45.1</v>
      </c>
      <c r="D192">
        <v>0.54</v>
      </c>
      <c r="E192">
        <v>0.94</v>
      </c>
      <c r="F192">
        <v>0.03</v>
      </c>
      <c r="G192">
        <v>9.64</v>
      </c>
      <c r="H192">
        <v>0.28999999999999998</v>
      </c>
      <c r="I192">
        <v>0.41</v>
      </c>
      <c r="J192">
        <v>0.01</v>
      </c>
      <c r="K192">
        <v>22.39</v>
      </c>
      <c r="L192">
        <v>0.26</v>
      </c>
      <c r="M192">
        <v>0.39</v>
      </c>
      <c r="N192">
        <v>0.01</v>
      </c>
      <c r="O192">
        <v>8.9700000000000006</v>
      </c>
      <c r="P192">
        <v>0.25</v>
      </c>
      <c r="Q192">
        <v>6.36</v>
      </c>
      <c r="R192">
        <v>7.0000000000000007E-2</v>
      </c>
      <c r="S192">
        <v>3.08</v>
      </c>
      <c r="T192">
        <v>0.14000000000000001</v>
      </c>
      <c r="U192">
        <v>0.37</v>
      </c>
      <c r="V192">
        <v>0.01</v>
      </c>
      <c r="W192">
        <v>0.75</v>
      </c>
      <c r="X192">
        <v>0.05</v>
      </c>
      <c r="Y192">
        <v>0.96</v>
      </c>
      <c r="Z192">
        <v>0.03</v>
      </c>
      <c r="AA192">
        <v>0.5</v>
      </c>
      <c r="AB192">
        <v>0.01</v>
      </c>
      <c r="AW192">
        <v>494</v>
      </c>
      <c r="AX192">
        <v>24</v>
      </c>
      <c r="AY192">
        <v>320</v>
      </c>
      <c r="AZ192">
        <v>10</v>
      </c>
      <c r="BA192">
        <v>105</v>
      </c>
      <c r="BB192">
        <v>5</v>
      </c>
    </row>
    <row r="193" spans="1:54" x14ac:dyDescent="0.25">
      <c r="A193">
        <v>1364</v>
      </c>
      <c r="B193" t="s">
        <v>873</v>
      </c>
      <c r="C193">
        <v>52.87</v>
      </c>
      <c r="D193">
        <v>0.54</v>
      </c>
      <c r="E193">
        <v>1.0900000000000001</v>
      </c>
      <c r="F193">
        <v>0.03</v>
      </c>
      <c r="G193">
        <v>9.3699999999999992</v>
      </c>
      <c r="H193">
        <v>0.19</v>
      </c>
      <c r="I193">
        <v>0.34</v>
      </c>
      <c r="J193">
        <v>0.01</v>
      </c>
      <c r="K193">
        <v>19.170000000000002</v>
      </c>
      <c r="L193">
        <v>0.2</v>
      </c>
      <c r="M193">
        <v>0.28000000000000003</v>
      </c>
      <c r="N193">
        <v>0.01</v>
      </c>
      <c r="O193">
        <v>4.84</v>
      </c>
      <c r="P193">
        <v>0.17</v>
      </c>
      <c r="Q193">
        <v>4.03</v>
      </c>
      <c r="R193">
        <v>0.04</v>
      </c>
      <c r="S193">
        <v>2.52</v>
      </c>
      <c r="T193">
        <v>0.14000000000000001</v>
      </c>
      <c r="U193">
        <v>0.85</v>
      </c>
      <c r="V193">
        <v>0.04</v>
      </c>
      <c r="W193">
        <v>0.5</v>
      </c>
      <c r="X193">
        <v>0.05</v>
      </c>
      <c r="Y193">
        <v>3.54</v>
      </c>
      <c r="Z193">
        <v>0.05</v>
      </c>
      <c r="AA193">
        <v>0.35</v>
      </c>
      <c r="AB193">
        <v>0.01</v>
      </c>
      <c r="AW193">
        <v>725</v>
      </c>
      <c r="AX193">
        <v>40</v>
      </c>
      <c r="AY193">
        <v>1168</v>
      </c>
      <c r="AZ193">
        <v>40</v>
      </c>
      <c r="BA193">
        <v>17</v>
      </c>
      <c r="BB193">
        <v>5</v>
      </c>
    </row>
    <row r="194" spans="1:54" x14ac:dyDescent="0.25">
      <c r="A194">
        <v>1366</v>
      </c>
      <c r="B194" t="s">
        <v>874</v>
      </c>
      <c r="C194">
        <v>52.45</v>
      </c>
      <c r="D194">
        <v>0.54</v>
      </c>
      <c r="E194">
        <v>1.05</v>
      </c>
      <c r="F194">
        <v>0.03</v>
      </c>
      <c r="G194">
        <v>9.59</v>
      </c>
      <c r="H194">
        <v>0.28999999999999998</v>
      </c>
      <c r="I194">
        <v>0.33</v>
      </c>
      <c r="J194">
        <v>0.01</v>
      </c>
      <c r="K194">
        <v>15.77</v>
      </c>
      <c r="L194">
        <v>0.2</v>
      </c>
      <c r="M194">
        <v>0.26</v>
      </c>
      <c r="N194">
        <v>0.01</v>
      </c>
      <c r="O194">
        <v>5.57</v>
      </c>
      <c r="P194">
        <v>0.17</v>
      </c>
      <c r="Q194">
        <v>4.62</v>
      </c>
      <c r="R194">
        <v>0.06</v>
      </c>
      <c r="S194">
        <v>2.6</v>
      </c>
      <c r="T194">
        <v>0.14000000000000001</v>
      </c>
      <c r="U194">
        <v>0.86</v>
      </c>
      <c r="V194">
        <v>0.04</v>
      </c>
      <c r="W194">
        <v>0.59</v>
      </c>
      <c r="X194">
        <v>0.05</v>
      </c>
      <c r="Y194">
        <v>5.48</v>
      </c>
      <c r="Z194">
        <v>0.08</v>
      </c>
      <c r="AA194">
        <v>0.56999999999999995</v>
      </c>
      <c r="AB194">
        <v>0.01</v>
      </c>
      <c r="AW194">
        <v>621</v>
      </c>
      <c r="AX194">
        <v>35</v>
      </c>
      <c r="AY194">
        <v>1033</v>
      </c>
      <c r="AZ194">
        <v>35</v>
      </c>
      <c r="BA194">
        <v>251</v>
      </c>
      <c r="BB194">
        <v>10</v>
      </c>
    </row>
    <row r="195" spans="1:54" x14ac:dyDescent="0.25">
      <c r="A195">
        <v>1368</v>
      </c>
      <c r="B195" t="s">
        <v>875</v>
      </c>
      <c r="C195">
        <v>51.82</v>
      </c>
      <c r="D195">
        <v>0.54</v>
      </c>
      <c r="E195">
        <v>1.05</v>
      </c>
      <c r="F195">
        <v>0.03</v>
      </c>
      <c r="G195">
        <v>9.4</v>
      </c>
      <c r="H195">
        <v>0.19</v>
      </c>
      <c r="I195">
        <v>0.32</v>
      </c>
      <c r="J195">
        <v>0.01</v>
      </c>
      <c r="K195">
        <v>18.739999999999998</v>
      </c>
      <c r="L195">
        <v>0.2</v>
      </c>
      <c r="M195">
        <v>0.22</v>
      </c>
      <c r="N195">
        <v>0.01</v>
      </c>
      <c r="O195">
        <v>4.9000000000000004</v>
      </c>
      <c r="P195">
        <v>0.17</v>
      </c>
      <c r="Q195">
        <v>4.55</v>
      </c>
      <c r="R195">
        <v>0.06</v>
      </c>
      <c r="S195">
        <v>2.59</v>
      </c>
      <c r="T195">
        <v>0.14000000000000001</v>
      </c>
      <c r="U195">
        <v>0.87</v>
      </c>
      <c r="V195">
        <v>0.04</v>
      </c>
      <c r="W195">
        <v>0.52</v>
      </c>
      <c r="X195">
        <v>0.05</v>
      </c>
      <c r="Y195">
        <v>4.3600000000000003</v>
      </c>
      <c r="Z195">
        <v>0.05</v>
      </c>
      <c r="AA195">
        <v>0.35</v>
      </c>
      <c r="AB195">
        <v>0.01</v>
      </c>
      <c r="AW195">
        <v>772</v>
      </c>
      <c r="AX195">
        <v>40</v>
      </c>
      <c r="AY195">
        <v>1080</v>
      </c>
      <c r="AZ195">
        <v>35</v>
      </c>
      <c r="BA195">
        <v>24</v>
      </c>
      <c r="BB195">
        <v>5</v>
      </c>
    </row>
    <row r="196" spans="1:54" x14ac:dyDescent="0.25">
      <c r="A196">
        <v>1375</v>
      </c>
      <c r="B196" t="s">
        <v>876</v>
      </c>
      <c r="C196">
        <v>43.4</v>
      </c>
      <c r="D196">
        <v>0.54</v>
      </c>
      <c r="E196">
        <v>0.93</v>
      </c>
      <c r="F196">
        <v>0.03</v>
      </c>
      <c r="G196">
        <v>9.0399999999999991</v>
      </c>
      <c r="H196">
        <v>0.19</v>
      </c>
      <c r="I196">
        <v>0.27</v>
      </c>
      <c r="J196">
        <v>0.01</v>
      </c>
      <c r="K196">
        <v>17.21</v>
      </c>
      <c r="L196">
        <v>0.2</v>
      </c>
      <c r="M196">
        <v>0.19</v>
      </c>
      <c r="N196">
        <v>0.01</v>
      </c>
      <c r="O196">
        <v>7.66</v>
      </c>
      <c r="P196">
        <v>0.17</v>
      </c>
      <c r="Q196">
        <v>4.53</v>
      </c>
      <c r="R196">
        <v>0.06</v>
      </c>
      <c r="S196">
        <v>2.85</v>
      </c>
      <c r="T196">
        <v>0.14000000000000001</v>
      </c>
      <c r="U196">
        <v>0.76</v>
      </c>
      <c r="V196">
        <v>0.02</v>
      </c>
      <c r="W196">
        <v>1.07</v>
      </c>
      <c r="X196">
        <v>7.0000000000000007E-2</v>
      </c>
      <c r="Y196">
        <v>9.7100000000000009</v>
      </c>
      <c r="Z196">
        <v>0.1</v>
      </c>
      <c r="AA196">
        <v>2.16</v>
      </c>
      <c r="AB196">
        <v>0.03</v>
      </c>
      <c r="AW196">
        <v>771</v>
      </c>
      <c r="AX196">
        <v>40</v>
      </c>
      <c r="AY196">
        <v>637</v>
      </c>
      <c r="AZ196">
        <v>20</v>
      </c>
      <c r="BA196">
        <v>133</v>
      </c>
      <c r="BB196">
        <v>5</v>
      </c>
    </row>
    <row r="197" spans="1:54" x14ac:dyDescent="0.25">
      <c r="A197">
        <v>1380</v>
      </c>
      <c r="B197" t="s">
        <v>877</v>
      </c>
      <c r="C197">
        <v>47.64</v>
      </c>
      <c r="D197">
        <v>0.54</v>
      </c>
      <c r="E197">
        <v>1</v>
      </c>
      <c r="F197">
        <v>0.03</v>
      </c>
      <c r="G197">
        <v>9.15</v>
      </c>
      <c r="H197">
        <v>0.19</v>
      </c>
      <c r="I197">
        <v>0.28999999999999998</v>
      </c>
      <c r="J197">
        <v>0.01</v>
      </c>
      <c r="K197">
        <v>16.5</v>
      </c>
      <c r="L197">
        <v>0.2</v>
      </c>
      <c r="M197">
        <v>0.25</v>
      </c>
      <c r="N197">
        <v>0.01</v>
      </c>
      <c r="O197">
        <v>8.65</v>
      </c>
      <c r="P197">
        <v>0.25</v>
      </c>
      <c r="Q197">
        <v>4.59</v>
      </c>
      <c r="R197">
        <v>0.06</v>
      </c>
      <c r="S197">
        <v>2.35</v>
      </c>
      <c r="T197">
        <v>0.14000000000000001</v>
      </c>
      <c r="U197">
        <v>0.79</v>
      </c>
      <c r="V197">
        <v>0.02</v>
      </c>
      <c r="W197">
        <v>0.61</v>
      </c>
      <c r="X197">
        <v>0.05</v>
      </c>
      <c r="Y197">
        <v>6.8</v>
      </c>
      <c r="Z197">
        <v>0.08</v>
      </c>
      <c r="AA197">
        <v>1.0900000000000001</v>
      </c>
      <c r="AB197">
        <v>0.02</v>
      </c>
      <c r="AW197">
        <v>1045</v>
      </c>
      <c r="AX197">
        <v>54</v>
      </c>
      <c r="AY197">
        <v>701</v>
      </c>
      <c r="AZ197">
        <v>24</v>
      </c>
      <c r="BA197">
        <v>181</v>
      </c>
      <c r="BB197">
        <v>10</v>
      </c>
    </row>
    <row r="198" spans="1:54" x14ac:dyDescent="0.25">
      <c r="A198">
        <v>1403</v>
      </c>
      <c r="B198" t="s">
        <v>878</v>
      </c>
      <c r="C198">
        <v>48.09</v>
      </c>
      <c r="D198">
        <v>0.54</v>
      </c>
      <c r="E198">
        <v>1.04</v>
      </c>
      <c r="F198">
        <v>0.03</v>
      </c>
      <c r="G198">
        <v>9.24</v>
      </c>
      <c r="H198">
        <v>0.19</v>
      </c>
      <c r="I198">
        <v>0.31</v>
      </c>
      <c r="J198">
        <v>0.01</v>
      </c>
      <c r="K198">
        <v>18.420000000000002</v>
      </c>
      <c r="L198">
        <v>0.2</v>
      </c>
      <c r="M198">
        <v>0.12</v>
      </c>
      <c r="N198">
        <v>0.01</v>
      </c>
      <c r="O198">
        <v>6.1</v>
      </c>
      <c r="P198">
        <v>0.17</v>
      </c>
      <c r="Q198">
        <v>4.09</v>
      </c>
      <c r="R198">
        <v>0.04</v>
      </c>
      <c r="S198">
        <v>2.5099999999999998</v>
      </c>
      <c r="T198">
        <v>0.14000000000000001</v>
      </c>
      <c r="U198">
        <v>0.77</v>
      </c>
      <c r="V198">
        <v>0.02</v>
      </c>
      <c r="W198">
        <v>1.06</v>
      </c>
      <c r="X198">
        <v>7.0000000000000007E-2</v>
      </c>
      <c r="Y198">
        <v>6.43</v>
      </c>
      <c r="Z198">
        <v>0.08</v>
      </c>
      <c r="AA198">
        <v>1.54</v>
      </c>
      <c r="AB198">
        <v>0.02</v>
      </c>
      <c r="AW198">
        <v>1237</v>
      </c>
      <c r="AX198">
        <v>65</v>
      </c>
      <c r="AY198">
        <v>749</v>
      </c>
      <c r="AZ198">
        <v>24</v>
      </c>
      <c r="BA198">
        <v>153</v>
      </c>
      <c r="BB198">
        <v>5</v>
      </c>
    </row>
    <row r="199" spans="1:54" x14ac:dyDescent="0.25">
      <c r="A199">
        <v>1407</v>
      </c>
      <c r="B199" t="s">
        <v>879</v>
      </c>
      <c r="C199">
        <v>54.08</v>
      </c>
      <c r="D199">
        <v>0.64</v>
      </c>
      <c r="E199">
        <v>0.86</v>
      </c>
      <c r="F199">
        <v>0.03</v>
      </c>
      <c r="G199">
        <v>9.2200000000000006</v>
      </c>
      <c r="H199">
        <v>0.19</v>
      </c>
      <c r="I199">
        <v>0.08</v>
      </c>
      <c r="J199">
        <v>0.01</v>
      </c>
      <c r="K199">
        <v>14.37</v>
      </c>
      <c r="L199">
        <v>0.2</v>
      </c>
      <c r="M199">
        <v>0.22</v>
      </c>
      <c r="N199">
        <v>0.01</v>
      </c>
      <c r="O199">
        <v>4.55</v>
      </c>
      <c r="P199">
        <v>0.17</v>
      </c>
      <c r="Q199">
        <v>3.83</v>
      </c>
      <c r="R199">
        <v>0.04</v>
      </c>
      <c r="S199">
        <v>3.92</v>
      </c>
      <c r="T199">
        <v>0.14000000000000001</v>
      </c>
      <c r="U199">
        <v>2.61</v>
      </c>
      <c r="V199">
        <v>0.08</v>
      </c>
      <c r="W199">
        <v>0.71</v>
      </c>
      <c r="X199">
        <v>0.05</v>
      </c>
      <c r="Y199">
        <v>4.3</v>
      </c>
      <c r="Z199">
        <v>0.05</v>
      </c>
      <c r="AA199">
        <v>1.02</v>
      </c>
      <c r="AB199">
        <v>0.02</v>
      </c>
      <c r="AW199">
        <v>120</v>
      </c>
      <c r="AX199">
        <v>10</v>
      </c>
      <c r="AY199">
        <v>184</v>
      </c>
      <c r="AZ199">
        <v>10</v>
      </c>
      <c r="BA199">
        <v>208</v>
      </c>
      <c r="BB199">
        <v>10</v>
      </c>
    </row>
    <row r="200" spans="1:54" x14ac:dyDescent="0.25">
      <c r="A200">
        <v>1409</v>
      </c>
      <c r="B200" t="s">
        <v>880</v>
      </c>
      <c r="C200">
        <v>59.25</v>
      </c>
      <c r="D200">
        <v>0.64</v>
      </c>
      <c r="E200">
        <v>0.82</v>
      </c>
      <c r="F200">
        <v>0.03</v>
      </c>
      <c r="G200">
        <v>9.34</v>
      </c>
      <c r="H200">
        <v>0.19</v>
      </c>
      <c r="I200">
        <v>0.03</v>
      </c>
      <c r="J200">
        <v>0.01</v>
      </c>
      <c r="K200">
        <v>12.69</v>
      </c>
      <c r="L200">
        <v>0.13</v>
      </c>
      <c r="M200">
        <v>0.21</v>
      </c>
      <c r="N200">
        <v>0.01</v>
      </c>
      <c r="O200">
        <v>2.64</v>
      </c>
      <c r="P200">
        <v>0.08</v>
      </c>
      <c r="Q200">
        <v>2.96</v>
      </c>
      <c r="R200">
        <v>0.04</v>
      </c>
      <c r="S200">
        <v>4.5199999999999996</v>
      </c>
      <c r="T200">
        <v>0.2</v>
      </c>
      <c r="U200">
        <v>3.17</v>
      </c>
      <c r="V200">
        <v>0.1</v>
      </c>
      <c r="W200">
        <v>0.56999999999999995</v>
      </c>
      <c r="X200">
        <v>0.05</v>
      </c>
      <c r="Y200">
        <v>2.87</v>
      </c>
      <c r="Z200">
        <v>0.05</v>
      </c>
      <c r="AA200">
        <v>0.71</v>
      </c>
      <c r="AB200">
        <v>0.02</v>
      </c>
      <c r="AW200">
        <v>55</v>
      </c>
      <c r="AX200">
        <v>10</v>
      </c>
      <c r="AY200">
        <v>168</v>
      </c>
      <c r="AZ200">
        <v>10</v>
      </c>
      <c r="BA200">
        <v>32</v>
      </c>
      <c r="BB200">
        <v>5</v>
      </c>
    </row>
    <row r="201" spans="1:54" x14ac:dyDescent="0.25">
      <c r="A201">
        <v>1416</v>
      </c>
      <c r="B201" t="s">
        <v>881</v>
      </c>
      <c r="C201">
        <v>46.17</v>
      </c>
      <c r="D201">
        <v>0.54</v>
      </c>
      <c r="E201">
        <v>1.01</v>
      </c>
      <c r="F201">
        <v>0.03</v>
      </c>
      <c r="G201">
        <v>8.6999999999999993</v>
      </c>
      <c r="H201">
        <v>0.19</v>
      </c>
      <c r="I201">
        <v>0.32</v>
      </c>
      <c r="J201">
        <v>0.01</v>
      </c>
      <c r="K201">
        <v>19.84</v>
      </c>
      <c r="L201">
        <v>0.26</v>
      </c>
      <c r="M201">
        <v>0.12</v>
      </c>
      <c r="N201">
        <v>0.01</v>
      </c>
      <c r="O201">
        <v>6.06</v>
      </c>
      <c r="P201">
        <v>0.17</v>
      </c>
      <c r="Q201">
        <v>4.5599999999999996</v>
      </c>
      <c r="R201">
        <v>0.06</v>
      </c>
      <c r="S201">
        <v>2.4500000000000002</v>
      </c>
      <c r="T201">
        <v>0.14000000000000001</v>
      </c>
      <c r="U201">
        <v>0.82</v>
      </c>
      <c r="V201">
        <v>0.04</v>
      </c>
      <c r="W201">
        <v>0.8</v>
      </c>
      <c r="X201">
        <v>0.05</v>
      </c>
      <c r="Y201">
        <v>7.48</v>
      </c>
      <c r="Z201">
        <v>0.1</v>
      </c>
      <c r="AA201">
        <v>1.37</v>
      </c>
      <c r="AB201">
        <v>0.03</v>
      </c>
      <c r="AW201">
        <v>1058</v>
      </c>
      <c r="AX201">
        <v>54</v>
      </c>
      <c r="AY201">
        <v>978</v>
      </c>
      <c r="AZ201">
        <v>30</v>
      </c>
      <c r="BA201">
        <v>252</v>
      </c>
      <c r="BB201">
        <v>10</v>
      </c>
    </row>
    <row r="202" spans="1:54" x14ac:dyDescent="0.25">
      <c r="A202">
        <v>1416</v>
      </c>
      <c r="B202" t="s">
        <v>882</v>
      </c>
      <c r="C202">
        <v>47.85</v>
      </c>
      <c r="D202">
        <v>0.54</v>
      </c>
      <c r="E202">
        <v>1.04</v>
      </c>
      <c r="F202">
        <v>0.03</v>
      </c>
      <c r="G202">
        <v>9.0299999999999994</v>
      </c>
      <c r="H202">
        <v>0.19</v>
      </c>
      <c r="I202">
        <v>0.3</v>
      </c>
      <c r="J202">
        <v>0.01</v>
      </c>
      <c r="K202">
        <v>19.37</v>
      </c>
      <c r="L202">
        <v>0.26</v>
      </c>
      <c r="M202">
        <v>0.09</v>
      </c>
      <c r="N202">
        <v>0.01</v>
      </c>
      <c r="O202">
        <v>5.03</v>
      </c>
      <c r="P202">
        <v>0.17</v>
      </c>
      <c r="Q202">
        <v>3.85</v>
      </c>
      <c r="R202">
        <v>0.04</v>
      </c>
      <c r="S202">
        <v>2.57</v>
      </c>
      <c r="T202">
        <v>0.14000000000000001</v>
      </c>
      <c r="U202">
        <v>0.96</v>
      </c>
      <c r="V202">
        <v>0.04</v>
      </c>
      <c r="W202">
        <v>0.75</v>
      </c>
      <c r="X202">
        <v>0.05</v>
      </c>
      <c r="Y202">
        <v>6.73</v>
      </c>
      <c r="Z202">
        <v>0.08</v>
      </c>
      <c r="AA202">
        <v>2.14</v>
      </c>
      <c r="AB202">
        <v>0.03</v>
      </c>
      <c r="AW202">
        <v>1014</v>
      </c>
      <c r="AX202">
        <v>54</v>
      </c>
      <c r="AY202">
        <v>888</v>
      </c>
      <c r="AZ202">
        <v>30</v>
      </c>
      <c r="BA202">
        <v>137</v>
      </c>
      <c r="BB202">
        <v>10</v>
      </c>
    </row>
    <row r="203" spans="1:54" x14ac:dyDescent="0.25">
      <c r="A203">
        <v>1418</v>
      </c>
      <c r="B203" t="s">
        <v>883</v>
      </c>
      <c r="C203">
        <v>45.17</v>
      </c>
      <c r="D203">
        <v>0.54</v>
      </c>
      <c r="E203">
        <v>0.97</v>
      </c>
      <c r="F203">
        <v>0.03</v>
      </c>
      <c r="G203">
        <v>8.08</v>
      </c>
      <c r="H203">
        <v>0.19</v>
      </c>
      <c r="I203">
        <v>0.27</v>
      </c>
      <c r="J203">
        <v>0.01</v>
      </c>
      <c r="K203">
        <v>19.04</v>
      </c>
      <c r="L203">
        <v>0.2</v>
      </c>
      <c r="M203">
        <v>0.08</v>
      </c>
      <c r="N203">
        <v>0.01</v>
      </c>
      <c r="O203">
        <v>5.52</v>
      </c>
      <c r="P203">
        <v>0.17</v>
      </c>
      <c r="Q203">
        <v>5.38</v>
      </c>
      <c r="R203">
        <v>0.06</v>
      </c>
      <c r="S203">
        <v>2.16</v>
      </c>
      <c r="T203">
        <v>7.0000000000000007E-2</v>
      </c>
      <c r="U203">
        <v>0.81</v>
      </c>
      <c r="V203">
        <v>0.04</v>
      </c>
      <c r="W203">
        <v>1.36</v>
      </c>
      <c r="X203">
        <v>7.0000000000000007E-2</v>
      </c>
      <c r="Y203">
        <v>9.4</v>
      </c>
      <c r="Z203">
        <v>0.1</v>
      </c>
      <c r="AA203">
        <v>1.45</v>
      </c>
      <c r="AB203">
        <v>0.02</v>
      </c>
      <c r="AW203">
        <v>878</v>
      </c>
      <c r="AX203">
        <v>44</v>
      </c>
      <c r="AY203">
        <v>887</v>
      </c>
      <c r="AZ203">
        <v>30</v>
      </c>
      <c r="BA203">
        <v>612</v>
      </c>
      <c r="BB203">
        <v>20</v>
      </c>
    </row>
    <row r="204" spans="1:54" x14ac:dyDescent="0.25">
      <c r="A204">
        <v>1419</v>
      </c>
      <c r="B204" t="s">
        <v>884</v>
      </c>
      <c r="C204">
        <v>48.65</v>
      </c>
      <c r="D204">
        <v>0.54</v>
      </c>
      <c r="E204">
        <v>1.04</v>
      </c>
      <c r="F204">
        <v>0.03</v>
      </c>
      <c r="G204">
        <v>9</v>
      </c>
      <c r="H204">
        <v>0.19</v>
      </c>
      <c r="I204">
        <v>0.32</v>
      </c>
      <c r="J204">
        <v>0.01</v>
      </c>
      <c r="K204">
        <v>20.25</v>
      </c>
      <c r="L204">
        <v>0.26</v>
      </c>
      <c r="M204">
        <v>0.16</v>
      </c>
      <c r="N204">
        <v>0.01</v>
      </c>
      <c r="O204">
        <v>5.08</v>
      </c>
      <c r="P204">
        <v>0.17</v>
      </c>
      <c r="Q204">
        <v>5.07</v>
      </c>
      <c r="R204">
        <v>0.06</v>
      </c>
      <c r="S204">
        <v>2.59</v>
      </c>
      <c r="T204">
        <v>0.14000000000000001</v>
      </c>
      <c r="U204">
        <v>0.81</v>
      </c>
      <c r="V204">
        <v>0.04</v>
      </c>
      <c r="W204">
        <v>0.61</v>
      </c>
      <c r="X204">
        <v>0.05</v>
      </c>
      <c r="Y204">
        <v>5.58</v>
      </c>
      <c r="Z204">
        <v>0.08</v>
      </c>
      <c r="AA204">
        <v>0.56000000000000005</v>
      </c>
      <c r="AB204">
        <v>0.02</v>
      </c>
      <c r="AW204">
        <v>851</v>
      </c>
      <c r="AX204">
        <v>44</v>
      </c>
      <c r="AY204">
        <v>986</v>
      </c>
      <c r="AZ204">
        <v>30</v>
      </c>
      <c r="BA204">
        <v>114</v>
      </c>
      <c r="BB204">
        <v>5</v>
      </c>
    </row>
    <row r="205" spans="1:54" x14ac:dyDescent="0.25">
      <c r="A205">
        <v>1426</v>
      </c>
      <c r="B205" t="s">
        <v>885</v>
      </c>
      <c r="C205">
        <v>45.99</v>
      </c>
      <c r="D205">
        <v>0.54</v>
      </c>
      <c r="E205">
        <v>1.07</v>
      </c>
      <c r="F205">
        <v>0.03</v>
      </c>
      <c r="G205">
        <v>8.49</v>
      </c>
      <c r="H205">
        <v>0.19</v>
      </c>
      <c r="I205">
        <v>0.33</v>
      </c>
      <c r="J205">
        <v>0.01</v>
      </c>
      <c r="K205">
        <v>22.53</v>
      </c>
      <c r="L205">
        <v>0.26</v>
      </c>
      <c r="M205">
        <v>0.09</v>
      </c>
      <c r="N205">
        <v>0.01</v>
      </c>
      <c r="O205">
        <v>4.58</v>
      </c>
      <c r="P205">
        <v>0.17</v>
      </c>
      <c r="Q205">
        <v>5.27</v>
      </c>
      <c r="R205">
        <v>0.06</v>
      </c>
      <c r="S205">
        <v>2.11</v>
      </c>
      <c r="T205">
        <v>7.0000000000000007E-2</v>
      </c>
      <c r="U205">
        <v>0.83</v>
      </c>
      <c r="V205">
        <v>0.04</v>
      </c>
      <c r="W205">
        <v>1.05</v>
      </c>
      <c r="X205">
        <v>7.0000000000000007E-2</v>
      </c>
      <c r="Y205">
        <v>6.78</v>
      </c>
      <c r="Z205">
        <v>0.08</v>
      </c>
      <c r="AA205">
        <v>0.48</v>
      </c>
      <c r="AB205">
        <v>0.02</v>
      </c>
      <c r="AW205">
        <v>1083</v>
      </c>
      <c r="AX205">
        <v>54</v>
      </c>
      <c r="AY205">
        <v>1084</v>
      </c>
      <c r="AZ205">
        <v>35</v>
      </c>
      <c r="BA205">
        <v>259</v>
      </c>
      <c r="BB205">
        <v>10</v>
      </c>
    </row>
    <row r="206" spans="1:54" x14ac:dyDescent="0.25">
      <c r="A206">
        <v>1436</v>
      </c>
      <c r="B206" t="s">
        <v>886</v>
      </c>
      <c r="C206">
        <v>46.14</v>
      </c>
      <c r="D206">
        <v>0.54</v>
      </c>
      <c r="E206">
        <v>1.02</v>
      </c>
      <c r="F206">
        <v>0.03</v>
      </c>
      <c r="G206">
        <v>8.8699999999999992</v>
      </c>
      <c r="H206">
        <v>0.19</v>
      </c>
      <c r="I206">
        <v>0.32</v>
      </c>
      <c r="J206">
        <v>0.01</v>
      </c>
      <c r="K206">
        <v>18.920000000000002</v>
      </c>
      <c r="L206">
        <v>0.2</v>
      </c>
      <c r="M206">
        <v>0.18</v>
      </c>
      <c r="N206">
        <v>0.01</v>
      </c>
      <c r="O206">
        <v>5.63</v>
      </c>
      <c r="P206">
        <v>0.17</v>
      </c>
      <c r="Q206">
        <v>4.43</v>
      </c>
      <c r="R206">
        <v>0.06</v>
      </c>
      <c r="S206">
        <v>2.37</v>
      </c>
      <c r="T206">
        <v>0.14000000000000001</v>
      </c>
      <c r="U206">
        <v>0.8</v>
      </c>
      <c r="V206">
        <v>0.02</v>
      </c>
      <c r="W206">
        <v>0.89</v>
      </c>
      <c r="X206">
        <v>0.05</v>
      </c>
      <c r="Y206">
        <v>8.4600000000000009</v>
      </c>
      <c r="Z206">
        <v>0.1</v>
      </c>
      <c r="AA206">
        <v>1.59</v>
      </c>
      <c r="AB206">
        <v>0.02</v>
      </c>
      <c r="AW206">
        <v>935</v>
      </c>
      <c r="AX206">
        <v>49</v>
      </c>
      <c r="AY206">
        <v>1071</v>
      </c>
      <c r="AZ206">
        <v>35</v>
      </c>
      <c r="BA206">
        <v>636</v>
      </c>
      <c r="BB206">
        <v>20</v>
      </c>
    </row>
    <row r="207" spans="1:54" x14ac:dyDescent="0.25">
      <c r="A207">
        <v>1444</v>
      </c>
      <c r="B207" t="s">
        <v>887</v>
      </c>
      <c r="C207">
        <v>44.37</v>
      </c>
      <c r="D207">
        <v>0.54</v>
      </c>
      <c r="E207">
        <v>1</v>
      </c>
      <c r="F207">
        <v>0.03</v>
      </c>
      <c r="G207">
        <v>8.1300000000000008</v>
      </c>
      <c r="H207">
        <v>0.19</v>
      </c>
      <c r="I207">
        <v>0.28000000000000003</v>
      </c>
      <c r="J207">
        <v>0.01</v>
      </c>
      <c r="K207">
        <v>18.5</v>
      </c>
      <c r="L207">
        <v>0.2</v>
      </c>
      <c r="M207">
        <v>0.13</v>
      </c>
      <c r="N207">
        <v>0.01</v>
      </c>
      <c r="O207">
        <v>5.22</v>
      </c>
      <c r="P207">
        <v>0.17</v>
      </c>
      <c r="Q207">
        <v>6.58</v>
      </c>
      <c r="R207">
        <v>7.0000000000000007E-2</v>
      </c>
      <c r="S207">
        <v>2.02</v>
      </c>
      <c r="T207">
        <v>0.14000000000000001</v>
      </c>
      <c r="U207">
        <v>0.76</v>
      </c>
      <c r="V207">
        <v>0.02</v>
      </c>
      <c r="W207">
        <v>0.98</v>
      </c>
      <c r="X207">
        <v>7.0000000000000007E-2</v>
      </c>
      <c r="Y207">
        <v>10.97</v>
      </c>
      <c r="Z207">
        <v>0.12</v>
      </c>
      <c r="AA207">
        <v>0.83</v>
      </c>
      <c r="AB207">
        <v>0.02</v>
      </c>
      <c r="AW207">
        <v>804</v>
      </c>
      <c r="AX207">
        <v>44</v>
      </c>
      <c r="AY207">
        <v>701</v>
      </c>
      <c r="AZ207">
        <v>24</v>
      </c>
      <c r="BA207">
        <v>68</v>
      </c>
      <c r="BB207">
        <v>5</v>
      </c>
    </row>
    <row r="208" spans="1:54" x14ac:dyDescent="0.25">
      <c r="A208">
        <v>1444</v>
      </c>
      <c r="B208" t="s">
        <v>888</v>
      </c>
      <c r="C208">
        <v>48.61</v>
      </c>
      <c r="D208">
        <v>0.54</v>
      </c>
      <c r="E208">
        <v>1.0900000000000001</v>
      </c>
      <c r="F208">
        <v>0.03</v>
      </c>
      <c r="G208">
        <v>8.76</v>
      </c>
      <c r="H208">
        <v>0.19</v>
      </c>
      <c r="I208">
        <v>0.32</v>
      </c>
      <c r="J208">
        <v>0.01</v>
      </c>
      <c r="K208">
        <v>21.12</v>
      </c>
      <c r="L208">
        <v>0.26</v>
      </c>
      <c r="M208">
        <v>0.15</v>
      </c>
      <c r="N208">
        <v>0.01</v>
      </c>
      <c r="O208">
        <v>5.72</v>
      </c>
      <c r="P208">
        <v>0.17</v>
      </c>
      <c r="Q208">
        <v>3.93</v>
      </c>
      <c r="R208">
        <v>0.04</v>
      </c>
      <c r="S208">
        <v>2.1800000000000002</v>
      </c>
      <c r="T208">
        <v>7.0000000000000007E-2</v>
      </c>
      <c r="U208">
        <v>0.79</v>
      </c>
      <c r="V208">
        <v>0.02</v>
      </c>
      <c r="W208">
        <v>1.1200000000000001</v>
      </c>
      <c r="X208">
        <v>7.0000000000000007E-2</v>
      </c>
      <c r="Y208">
        <v>4.8499999999999996</v>
      </c>
      <c r="Z208">
        <v>0.05</v>
      </c>
      <c r="AA208">
        <v>1.02</v>
      </c>
      <c r="AB208">
        <v>0.02</v>
      </c>
      <c r="AW208">
        <v>1013</v>
      </c>
      <c r="AX208">
        <v>54</v>
      </c>
      <c r="AY208">
        <v>830</v>
      </c>
      <c r="AZ208">
        <v>24</v>
      </c>
      <c r="BA208">
        <v>838</v>
      </c>
      <c r="BB208">
        <v>30</v>
      </c>
    </row>
    <row r="209" spans="1:54" x14ac:dyDescent="0.25">
      <c r="A209">
        <v>1456</v>
      </c>
      <c r="B209" t="s">
        <v>889</v>
      </c>
      <c r="C209">
        <v>48.48</v>
      </c>
      <c r="D209">
        <v>0.54</v>
      </c>
      <c r="E209">
        <v>1.07</v>
      </c>
      <c r="F209">
        <v>0.03</v>
      </c>
      <c r="G209">
        <v>8.85</v>
      </c>
      <c r="H209">
        <v>0.19</v>
      </c>
      <c r="I209">
        <v>0.3</v>
      </c>
      <c r="J209">
        <v>0.01</v>
      </c>
      <c r="K209">
        <v>19.329999999999998</v>
      </c>
      <c r="L209">
        <v>0.26</v>
      </c>
      <c r="M209">
        <v>0.22</v>
      </c>
      <c r="N209">
        <v>0.01</v>
      </c>
      <c r="O209">
        <v>4.91</v>
      </c>
      <c r="P209">
        <v>0.17</v>
      </c>
      <c r="Q209">
        <v>4.97</v>
      </c>
      <c r="R209">
        <v>0.06</v>
      </c>
      <c r="S209">
        <v>2.5099999999999998</v>
      </c>
      <c r="T209">
        <v>0.14000000000000001</v>
      </c>
      <c r="U209">
        <v>0.77</v>
      </c>
      <c r="V209">
        <v>0.02</v>
      </c>
      <c r="W209">
        <v>1.1399999999999999</v>
      </c>
      <c r="X209">
        <v>7.0000000000000007E-2</v>
      </c>
      <c r="Y209">
        <v>5.9</v>
      </c>
      <c r="Z209">
        <v>0.08</v>
      </c>
      <c r="AA209">
        <v>1.25</v>
      </c>
      <c r="AB209">
        <v>0.02</v>
      </c>
      <c r="AW209">
        <v>1089</v>
      </c>
      <c r="AX209">
        <v>54</v>
      </c>
      <c r="AY209">
        <v>848</v>
      </c>
      <c r="AZ209">
        <v>30</v>
      </c>
      <c r="BA209">
        <v>240</v>
      </c>
      <c r="BB209">
        <v>10</v>
      </c>
    </row>
    <row r="210" spans="1:54" x14ac:dyDescent="0.25">
      <c r="A210">
        <v>1459</v>
      </c>
      <c r="B210" t="s">
        <v>890</v>
      </c>
      <c r="C210">
        <v>45.71</v>
      </c>
      <c r="D210">
        <v>0.54</v>
      </c>
      <c r="E210">
        <v>1.08</v>
      </c>
      <c r="F210">
        <v>0.03</v>
      </c>
      <c r="G210">
        <v>8.57</v>
      </c>
      <c r="H210">
        <v>0.19</v>
      </c>
      <c r="I210">
        <v>0.33</v>
      </c>
      <c r="J210">
        <v>0.01</v>
      </c>
      <c r="K210">
        <v>20.66</v>
      </c>
      <c r="L210">
        <v>0.26</v>
      </c>
      <c r="M210">
        <v>0.19</v>
      </c>
      <c r="N210">
        <v>0.01</v>
      </c>
      <c r="O210">
        <v>4.63</v>
      </c>
      <c r="P210">
        <v>0.17</v>
      </c>
      <c r="Q210">
        <v>6.01</v>
      </c>
      <c r="R210">
        <v>7.0000000000000007E-2</v>
      </c>
      <c r="S210">
        <v>2.2599999999999998</v>
      </c>
      <c r="T210">
        <v>0.14000000000000001</v>
      </c>
      <c r="U210">
        <v>0.79</v>
      </c>
      <c r="V210">
        <v>0.02</v>
      </c>
      <c r="W210">
        <v>0.85</v>
      </c>
      <c r="X210">
        <v>0.05</v>
      </c>
      <c r="Y210">
        <v>7.72</v>
      </c>
      <c r="Z210">
        <v>0.1</v>
      </c>
      <c r="AA210">
        <v>0.92</v>
      </c>
      <c r="AB210">
        <v>0.02</v>
      </c>
      <c r="AW210">
        <v>948</v>
      </c>
      <c r="AX210">
        <v>49</v>
      </c>
      <c r="AY210">
        <v>888</v>
      </c>
      <c r="AZ210">
        <v>30</v>
      </c>
      <c r="BA210">
        <v>223</v>
      </c>
      <c r="BB210">
        <v>10</v>
      </c>
    </row>
    <row r="211" spans="1:54" x14ac:dyDescent="0.25">
      <c r="A211">
        <v>1466</v>
      </c>
      <c r="B211" t="s">
        <v>891</v>
      </c>
      <c r="C211">
        <v>44.81</v>
      </c>
      <c r="D211">
        <v>0.54</v>
      </c>
      <c r="E211">
        <v>1.05</v>
      </c>
      <c r="F211">
        <v>0.03</v>
      </c>
      <c r="G211">
        <v>8.48</v>
      </c>
      <c r="H211">
        <v>0.19</v>
      </c>
      <c r="I211">
        <v>0.28999999999999998</v>
      </c>
      <c r="J211">
        <v>0.01</v>
      </c>
      <c r="K211">
        <v>18.93</v>
      </c>
      <c r="L211">
        <v>0.2</v>
      </c>
      <c r="M211">
        <v>0.22</v>
      </c>
      <c r="N211">
        <v>0.01</v>
      </c>
      <c r="O211">
        <v>4.0999999999999996</v>
      </c>
      <c r="P211">
        <v>0.08</v>
      </c>
      <c r="Q211">
        <v>7.48</v>
      </c>
      <c r="R211">
        <v>0.08</v>
      </c>
      <c r="S211">
        <v>2.19</v>
      </c>
      <c r="T211">
        <v>0.14000000000000001</v>
      </c>
      <c r="U211">
        <v>0.77</v>
      </c>
      <c r="V211">
        <v>0.02</v>
      </c>
      <c r="W211">
        <v>1.1000000000000001</v>
      </c>
      <c r="X211">
        <v>7.0000000000000007E-2</v>
      </c>
      <c r="Y211">
        <v>9.3000000000000007</v>
      </c>
      <c r="Z211">
        <v>0.12</v>
      </c>
      <c r="AA211">
        <v>1.01</v>
      </c>
      <c r="AB211">
        <v>0.02</v>
      </c>
      <c r="AW211">
        <v>998</v>
      </c>
      <c r="AX211">
        <v>49</v>
      </c>
      <c r="AY211">
        <v>825</v>
      </c>
      <c r="AZ211">
        <v>24</v>
      </c>
      <c r="BA211">
        <v>41</v>
      </c>
      <c r="BB211">
        <v>10</v>
      </c>
    </row>
    <row r="212" spans="1:54" x14ac:dyDescent="0.25">
      <c r="A212">
        <v>1474</v>
      </c>
      <c r="B212" t="s">
        <v>892</v>
      </c>
      <c r="C212">
        <v>46.35</v>
      </c>
      <c r="D212">
        <v>0.54</v>
      </c>
      <c r="E212">
        <v>1.03</v>
      </c>
      <c r="F212">
        <v>0.03</v>
      </c>
      <c r="G212">
        <v>8.4700000000000006</v>
      </c>
      <c r="H212">
        <v>0.19</v>
      </c>
      <c r="I212">
        <v>0.3</v>
      </c>
      <c r="J212">
        <v>0.01</v>
      </c>
      <c r="K212">
        <v>16.239999999999998</v>
      </c>
      <c r="L212">
        <v>0.2</v>
      </c>
      <c r="M212">
        <v>0.17</v>
      </c>
      <c r="N212">
        <v>0.01</v>
      </c>
      <c r="O212">
        <v>7.51</v>
      </c>
      <c r="P212">
        <v>0.17</v>
      </c>
      <c r="Q212">
        <v>3.73</v>
      </c>
      <c r="R212">
        <v>0.04</v>
      </c>
      <c r="S212">
        <v>2.15</v>
      </c>
      <c r="T212">
        <v>7.0000000000000007E-2</v>
      </c>
      <c r="U212">
        <v>0.73</v>
      </c>
      <c r="V212">
        <v>0.02</v>
      </c>
      <c r="W212">
        <v>0.88</v>
      </c>
      <c r="X212">
        <v>0.05</v>
      </c>
      <c r="Y212">
        <v>10.45</v>
      </c>
      <c r="Z212">
        <v>0.12</v>
      </c>
      <c r="AA212">
        <v>1.63</v>
      </c>
      <c r="AB212">
        <v>0.02</v>
      </c>
      <c r="AW212">
        <v>1000</v>
      </c>
      <c r="AX212">
        <v>49</v>
      </c>
      <c r="AY212">
        <v>781</v>
      </c>
      <c r="AZ212">
        <v>24</v>
      </c>
      <c r="BA212">
        <v>873</v>
      </c>
      <c r="BB212">
        <v>30</v>
      </c>
    </row>
    <row r="213" spans="1:54" x14ac:dyDescent="0.25">
      <c r="A213">
        <v>1477</v>
      </c>
      <c r="B213" t="s">
        <v>893</v>
      </c>
      <c r="C213">
        <v>40.5</v>
      </c>
      <c r="D213">
        <v>0.43</v>
      </c>
      <c r="E213">
        <v>1.02</v>
      </c>
      <c r="F213">
        <v>0.03</v>
      </c>
      <c r="G213">
        <v>8.83</v>
      </c>
      <c r="H213">
        <v>0.19</v>
      </c>
      <c r="I213">
        <v>0.38</v>
      </c>
      <c r="J213">
        <v>0.01</v>
      </c>
      <c r="K213">
        <v>24.4</v>
      </c>
      <c r="L213">
        <v>0.26</v>
      </c>
      <c r="M213">
        <v>0.2</v>
      </c>
      <c r="N213">
        <v>0.01</v>
      </c>
      <c r="O213">
        <v>6.94</v>
      </c>
      <c r="P213">
        <v>0.17</v>
      </c>
      <c r="Q213">
        <v>3.67</v>
      </c>
      <c r="R213">
        <v>0.04</v>
      </c>
      <c r="S213">
        <v>2.67</v>
      </c>
      <c r="T213">
        <v>0.14000000000000001</v>
      </c>
      <c r="U213">
        <v>0.62</v>
      </c>
      <c r="V213">
        <v>0.02</v>
      </c>
      <c r="W213">
        <v>2.21</v>
      </c>
      <c r="X213">
        <v>0.12</v>
      </c>
      <c r="Y213">
        <v>5.4</v>
      </c>
      <c r="Z213">
        <v>0.08</v>
      </c>
      <c r="AA213">
        <v>2.7</v>
      </c>
      <c r="AB213">
        <v>0.04</v>
      </c>
      <c r="AW213">
        <v>714</v>
      </c>
      <c r="AX213">
        <v>40</v>
      </c>
      <c r="AY213">
        <v>957</v>
      </c>
      <c r="AZ213">
        <v>30</v>
      </c>
      <c r="BA213">
        <v>1215</v>
      </c>
      <c r="BB213">
        <v>40</v>
      </c>
    </row>
    <row r="214" spans="1:54" x14ac:dyDescent="0.25">
      <c r="A214">
        <v>1477</v>
      </c>
      <c r="B214" t="s">
        <v>894</v>
      </c>
      <c r="C214">
        <v>40.14</v>
      </c>
      <c r="D214">
        <v>0.43</v>
      </c>
      <c r="E214">
        <v>1.05</v>
      </c>
      <c r="F214">
        <v>0.03</v>
      </c>
      <c r="G214">
        <v>9.33</v>
      </c>
      <c r="H214">
        <v>0.19</v>
      </c>
      <c r="I214">
        <v>0.35</v>
      </c>
      <c r="J214">
        <v>0.01</v>
      </c>
      <c r="K214">
        <v>22.01</v>
      </c>
      <c r="L214">
        <v>0.26</v>
      </c>
      <c r="M214">
        <v>0.22</v>
      </c>
      <c r="N214">
        <v>0.01</v>
      </c>
      <c r="O214">
        <v>7.47</v>
      </c>
      <c r="P214">
        <v>0.17</v>
      </c>
      <c r="Q214">
        <v>4.5199999999999996</v>
      </c>
      <c r="R214">
        <v>0.06</v>
      </c>
      <c r="S214">
        <v>2.89</v>
      </c>
      <c r="T214">
        <v>0.14000000000000001</v>
      </c>
      <c r="U214">
        <v>0.49</v>
      </c>
      <c r="V214">
        <v>0.02</v>
      </c>
      <c r="W214">
        <v>1.73</v>
      </c>
      <c r="X214">
        <v>0.09</v>
      </c>
      <c r="Y214">
        <v>7.12</v>
      </c>
      <c r="Z214">
        <v>0.1</v>
      </c>
      <c r="AA214">
        <v>2.29</v>
      </c>
      <c r="AB214">
        <v>0.03</v>
      </c>
      <c r="AW214">
        <v>838</v>
      </c>
      <c r="AX214">
        <v>44</v>
      </c>
      <c r="AY214">
        <v>974</v>
      </c>
      <c r="AZ214">
        <v>30</v>
      </c>
      <c r="BA214">
        <v>599</v>
      </c>
      <c r="BB214">
        <v>20</v>
      </c>
    </row>
    <row r="215" spans="1:54" x14ac:dyDescent="0.25">
      <c r="A215">
        <v>1484</v>
      </c>
      <c r="B215" t="s">
        <v>895</v>
      </c>
      <c r="C215">
        <v>35.79</v>
      </c>
      <c r="D215">
        <v>0.43</v>
      </c>
      <c r="E215">
        <v>0.77</v>
      </c>
      <c r="F215">
        <v>0.03</v>
      </c>
      <c r="G215">
        <v>7.24</v>
      </c>
      <c r="H215">
        <v>0.19</v>
      </c>
      <c r="I215">
        <v>0.24</v>
      </c>
      <c r="J215">
        <v>0.01</v>
      </c>
      <c r="K215">
        <v>26.81</v>
      </c>
      <c r="L215">
        <v>0.33</v>
      </c>
      <c r="M215">
        <v>0.13</v>
      </c>
      <c r="N215">
        <v>0.01</v>
      </c>
      <c r="O215">
        <v>6.3</v>
      </c>
      <c r="P215">
        <v>0.17</v>
      </c>
      <c r="Q215">
        <v>4.6900000000000004</v>
      </c>
      <c r="R215">
        <v>0.06</v>
      </c>
      <c r="S215">
        <v>2.2599999999999998</v>
      </c>
      <c r="T215">
        <v>0.14000000000000001</v>
      </c>
      <c r="U215">
        <v>0.97</v>
      </c>
      <c r="V215">
        <v>0.04</v>
      </c>
      <c r="W215">
        <v>1.02</v>
      </c>
      <c r="X215">
        <v>7.0000000000000007E-2</v>
      </c>
      <c r="Y215">
        <v>12.12</v>
      </c>
      <c r="Z215">
        <v>0.12</v>
      </c>
      <c r="AA215">
        <v>1.43</v>
      </c>
      <c r="AB215">
        <v>0.03</v>
      </c>
      <c r="AW215">
        <v>979</v>
      </c>
      <c r="AX215">
        <v>49</v>
      </c>
      <c r="AY215">
        <v>562</v>
      </c>
      <c r="AZ215">
        <v>20</v>
      </c>
      <c r="BA215">
        <v>240</v>
      </c>
      <c r="BB215">
        <v>10</v>
      </c>
    </row>
    <row r="216" spans="1:54" x14ac:dyDescent="0.25">
      <c r="A216">
        <v>1484</v>
      </c>
      <c r="B216" t="s">
        <v>896</v>
      </c>
      <c r="C216">
        <v>44.91</v>
      </c>
      <c r="D216">
        <v>0.54</v>
      </c>
      <c r="E216">
        <v>1.1200000000000001</v>
      </c>
      <c r="F216">
        <v>0.05</v>
      </c>
      <c r="G216">
        <v>9.1300000000000008</v>
      </c>
      <c r="H216">
        <v>0.19</v>
      </c>
      <c r="I216">
        <v>0.33</v>
      </c>
      <c r="J216">
        <v>0.01</v>
      </c>
      <c r="K216">
        <v>15.03</v>
      </c>
      <c r="L216">
        <v>0.2</v>
      </c>
      <c r="M216">
        <v>0.16</v>
      </c>
      <c r="N216">
        <v>0.01</v>
      </c>
      <c r="O216">
        <v>6.3</v>
      </c>
      <c r="P216">
        <v>0.17</v>
      </c>
      <c r="Q216">
        <v>6.64</v>
      </c>
      <c r="R216">
        <v>7.0000000000000007E-2</v>
      </c>
      <c r="S216">
        <v>2.62</v>
      </c>
      <c r="T216">
        <v>0.14000000000000001</v>
      </c>
      <c r="U216">
        <v>0.59</v>
      </c>
      <c r="V216">
        <v>0.02</v>
      </c>
      <c r="W216">
        <v>1.01</v>
      </c>
      <c r="X216">
        <v>7.0000000000000007E-2</v>
      </c>
      <c r="Y216">
        <v>9.91</v>
      </c>
      <c r="Z216">
        <v>0.1</v>
      </c>
      <c r="AA216">
        <v>1.92</v>
      </c>
      <c r="AB216">
        <v>0.03</v>
      </c>
      <c r="AW216">
        <v>742</v>
      </c>
      <c r="AX216">
        <v>40</v>
      </c>
      <c r="AY216">
        <v>707</v>
      </c>
      <c r="AZ216">
        <v>24</v>
      </c>
      <c r="BA216">
        <v>1058</v>
      </c>
      <c r="BB216">
        <v>35</v>
      </c>
    </row>
    <row r="217" spans="1:54" x14ac:dyDescent="0.25">
      <c r="A217">
        <v>1491</v>
      </c>
      <c r="B217" t="s">
        <v>897</v>
      </c>
      <c r="C217">
        <v>44.59</v>
      </c>
      <c r="D217">
        <v>0.54</v>
      </c>
      <c r="E217">
        <v>1.02</v>
      </c>
      <c r="F217">
        <v>0.03</v>
      </c>
      <c r="G217">
        <v>8.3000000000000007</v>
      </c>
      <c r="H217">
        <v>0.19</v>
      </c>
      <c r="I217">
        <v>0.31</v>
      </c>
      <c r="J217">
        <v>0.01</v>
      </c>
      <c r="K217">
        <v>16.82</v>
      </c>
      <c r="L217">
        <v>0.2</v>
      </c>
      <c r="M217">
        <v>0.15</v>
      </c>
      <c r="N217">
        <v>0.01</v>
      </c>
      <c r="O217">
        <v>5.22</v>
      </c>
      <c r="P217">
        <v>0.17</v>
      </c>
      <c r="Q217">
        <v>7.46</v>
      </c>
      <c r="R217">
        <v>0.08</v>
      </c>
      <c r="S217">
        <v>2.38</v>
      </c>
      <c r="T217">
        <v>0.14000000000000001</v>
      </c>
      <c r="U217">
        <v>0.7</v>
      </c>
      <c r="V217">
        <v>0.02</v>
      </c>
      <c r="W217">
        <v>0.64</v>
      </c>
      <c r="X217">
        <v>0.05</v>
      </c>
      <c r="Y217">
        <v>10.86</v>
      </c>
      <c r="Z217">
        <v>0.12</v>
      </c>
      <c r="AA217">
        <v>1.3</v>
      </c>
      <c r="AB217">
        <v>0.02</v>
      </c>
      <c r="AW217">
        <v>870</v>
      </c>
      <c r="AX217">
        <v>44</v>
      </c>
      <c r="AY217">
        <v>741</v>
      </c>
      <c r="AZ217">
        <v>24</v>
      </c>
      <c r="BA217">
        <v>161</v>
      </c>
      <c r="BB217">
        <v>5</v>
      </c>
    </row>
    <row r="218" spans="1:54" x14ac:dyDescent="0.25">
      <c r="A218">
        <v>1493</v>
      </c>
      <c r="B218" t="s">
        <v>898</v>
      </c>
      <c r="C218">
        <v>45.3</v>
      </c>
      <c r="D218">
        <v>0.54</v>
      </c>
      <c r="E218">
        <v>1.07</v>
      </c>
      <c r="F218">
        <v>0.03</v>
      </c>
      <c r="G218">
        <v>8.65</v>
      </c>
      <c r="H218">
        <v>0.19</v>
      </c>
      <c r="I218">
        <v>0.33</v>
      </c>
      <c r="J218">
        <v>0.01</v>
      </c>
      <c r="K218">
        <v>18.98</v>
      </c>
      <c r="L218">
        <v>0.2</v>
      </c>
      <c r="M218">
        <v>0.23</v>
      </c>
      <c r="N218">
        <v>0.01</v>
      </c>
      <c r="O218">
        <v>5.53</v>
      </c>
      <c r="P218">
        <v>0.17</v>
      </c>
      <c r="Q218">
        <v>6.51</v>
      </c>
      <c r="R218">
        <v>7.0000000000000007E-2</v>
      </c>
      <c r="S218">
        <v>2.5299999999999998</v>
      </c>
      <c r="T218">
        <v>0.14000000000000001</v>
      </c>
      <c r="U218">
        <v>0.71</v>
      </c>
      <c r="V218">
        <v>0.02</v>
      </c>
      <c r="W218">
        <v>0.93</v>
      </c>
      <c r="X218">
        <v>7.0000000000000007E-2</v>
      </c>
      <c r="Y218">
        <v>7.63</v>
      </c>
      <c r="Z218">
        <v>0.1</v>
      </c>
      <c r="AA218">
        <v>1.33</v>
      </c>
      <c r="AB218">
        <v>0.02</v>
      </c>
      <c r="AW218">
        <v>975</v>
      </c>
      <c r="AX218">
        <v>49</v>
      </c>
      <c r="AY218">
        <v>776</v>
      </c>
      <c r="AZ218">
        <v>24</v>
      </c>
      <c r="BA218">
        <v>362</v>
      </c>
      <c r="BB218">
        <v>15</v>
      </c>
    </row>
    <row r="219" spans="1:54" x14ac:dyDescent="0.25">
      <c r="A219">
        <v>1494</v>
      </c>
      <c r="B219" t="s">
        <v>899</v>
      </c>
      <c r="C219">
        <v>46.89</v>
      </c>
      <c r="D219">
        <v>0.54</v>
      </c>
      <c r="E219">
        <v>0.97</v>
      </c>
      <c r="F219">
        <v>0.03</v>
      </c>
      <c r="G219">
        <v>9.5399999999999991</v>
      </c>
      <c r="H219">
        <v>0.28999999999999998</v>
      </c>
      <c r="I219">
        <v>0.37</v>
      </c>
      <c r="J219">
        <v>0.01</v>
      </c>
      <c r="K219">
        <v>18.3</v>
      </c>
      <c r="L219">
        <v>0.2</v>
      </c>
      <c r="M219">
        <v>0.31</v>
      </c>
      <c r="N219">
        <v>0.01</v>
      </c>
      <c r="O219">
        <v>6.39</v>
      </c>
      <c r="P219">
        <v>0.17</v>
      </c>
      <c r="Q219">
        <v>6.61</v>
      </c>
      <c r="R219">
        <v>7.0000000000000007E-2</v>
      </c>
      <c r="S219">
        <v>2.68</v>
      </c>
      <c r="T219">
        <v>0.14000000000000001</v>
      </c>
      <c r="U219">
        <v>0.67</v>
      </c>
      <c r="V219">
        <v>0.02</v>
      </c>
      <c r="W219">
        <v>0.91</v>
      </c>
      <c r="X219">
        <v>0.05</v>
      </c>
      <c r="Y219">
        <v>5.16</v>
      </c>
      <c r="Z219">
        <v>0.08</v>
      </c>
      <c r="AA219">
        <v>1.01</v>
      </c>
      <c r="AB219">
        <v>0.02</v>
      </c>
      <c r="AW219">
        <v>681</v>
      </c>
      <c r="AX219">
        <v>35</v>
      </c>
      <c r="AY219">
        <v>485</v>
      </c>
      <c r="AZ219">
        <v>15</v>
      </c>
      <c r="BA219">
        <v>80</v>
      </c>
      <c r="BB219">
        <v>5</v>
      </c>
    </row>
    <row r="220" spans="1:54" x14ac:dyDescent="0.25">
      <c r="A220">
        <v>1497</v>
      </c>
      <c r="B220" t="s">
        <v>900</v>
      </c>
      <c r="C220">
        <v>44.99</v>
      </c>
      <c r="D220">
        <v>0.54</v>
      </c>
      <c r="E220">
        <v>1.01</v>
      </c>
      <c r="F220">
        <v>0.03</v>
      </c>
      <c r="G220">
        <v>8.2799999999999994</v>
      </c>
      <c r="H220">
        <v>0.19</v>
      </c>
      <c r="I220">
        <v>0.32</v>
      </c>
      <c r="J220">
        <v>0.01</v>
      </c>
      <c r="K220">
        <v>15.95</v>
      </c>
      <c r="L220">
        <v>0.2</v>
      </c>
      <c r="M220">
        <v>0.18</v>
      </c>
      <c r="N220">
        <v>0.01</v>
      </c>
      <c r="O220">
        <v>5.12</v>
      </c>
      <c r="P220">
        <v>0.17</v>
      </c>
      <c r="Q220">
        <v>7.87</v>
      </c>
      <c r="R220">
        <v>0.08</v>
      </c>
      <c r="S220">
        <v>2.2599999999999998</v>
      </c>
      <c r="T220">
        <v>0.14000000000000001</v>
      </c>
      <c r="U220">
        <v>0.76</v>
      </c>
      <c r="V220">
        <v>0.02</v>
      </c>
      <c r="W220">
        <v>0.62</v>
      </c>
      <c r="X220">
        <v>0.05</v>
      </c>
      <c r="Y220">
        <v>11.25</v>
      </c>
      <c r="Z220">
        <v>0.12</v>
      </c>
      <c r="AA220">
        <v>1.1399999999999999</v>
      </c>
      <c r="AB220">
        <v>0.02</v>
      </c>
      <c r="AW220">
        <v>927</v>
      </c>
      <c r="AX220">
        <v>49</v>
      </c>
      <c r="AY220">
        <v>697</v>
      </c>
      <c r="AZ220">
        <v>24</v>
      </c>
      <c r="BA220">
        <v>189</v>
      </c>
      <c r="BB220">
        <v>10</v>
      </c>
    </row>
    <row r="221" spans="1:54" x14ac:dyDescent="0.25">
      <c r="A221">
        <v>1504</v>
      </c>
      <c r="B221" t="s">
        <v>901</v>
      </c>
      <c r="C221">
        <v>49.95</v>
      </c>
      <c r="D221">
        <v>0.54</v>
      </c>
      <c r="E221">
        <v>1.1200000000000001</v>
      </c>
      <c r="F221">
        <v>0.05</v>
      </c>
      <c r="G221">
        <v>9</v>
      </c>
      <c r="H221">
        <v>0.19</v>
      </c>
      <c r="I221">
        <v>0.34</v>
      </c>
      <c r="J221">
        <v>0.01</v>
      </c>
      <c r="K221">
        <v>17.32</v>
      </c>
      <c r="L221">
        <v>0.2</v>
      </c>
      <c r="M221">
        <v>0.15</v>
      </c>
      <c r="N221">
        <v>0.01</v>
      </c>
      <c r="O221">
        <v>6.09</v>
      </c>
      <c r="P221">
        <v>0.17</v>
      </c>
      <c r="Q221">
        <v>4.43</v>
      </c>
      <c r="R221">
        <v>0.06</v>
      </c>
      <c r="S221">
        <v>2.48</v>
      </c>
      <c r="T221">
        <v>0.14000000000000001</v>
      </c>
      <c r="U221">
        <v>0.77</v>
      </c>
      <c r="V221">
        <v>0.02</v>
      </c>
      <c r="W221">
        <v>0.93</v>
      </c>
      <c r="X221">
        <v>7.0000000000000007E-2</v>
      </c>
      <c r="Y221">
        <v>5.8</v>
      </c>
      <c r="Z221">
        <v>0.08</v>
      </c>
      <c r="AA221">
        <v>1.32</v>
      </c>
      <c r="AB221">
        <v>0.02</v>
      </c>
      <c r="AW221">
        <v>780</v>
      </c>
      <c r="AX221">
        <v>40</v>
      </c>
      <c r="AY221">
        <v>737</v>
      </c>
      <c r="AZ221">
        <v>24</v>
      </c>
      <c r="BA221">
        <v>549</v>
      </c>
      <c r="BB221">
        <v>20</v>
      </c>
    </row>
    <row r="222" spans="1:54" x14ac:dyDescent="0.25">
      <c r="A222">
        <v>1504</v>
      </c>
      <c r="B222" t="s">
        <v>902</v>
      </c>
      <c r="C222">
        <v>44.43</v>
      </c>
      <c r="D222">
        <v>0.54</v>
      </c>
      <c r="E222">
        <v>0.93</v>
      </c>
      <c r="F222">
        <v>0.03</v>
      </c>
      <c r="G222">
        <v>8.15</v>
      </c>
      <c r="H222">
        <v>0.19</v>
      </c>
      <c r="I222">
        <v>0.27</v>
      </c>
      <c r="J222">
        <v>0.01</v>
      </c>
      <c r="K222">
        <v>19.36</v>
      </c>
      <c r="L222">
        <v>0.26</v>
      </c>
      <c r="M222">
        <v>0.13</v>
      </c>
      <c r="N222">
        <v>0.01</v>
      </c>
      <c r="O222">
        <v>5.2</v>
      </c>
      <c r="P222">
        <v>0.17</v>
      </c>
      <c r="Q222">
        <v>3.55</v>
      </c>
      <c r="R222">
        <v>0.04</v>
      </c>
      <c r="S222">
        <v>2.31</v>
      </c>
      <c r="T222">
        <v>0.14000000000000001</v>
      </c>
      <c r="U222">
        <v>1.92</v>
      </c>
      <c r="V222">
        <v>0.06</v>
      </c>
      <c r="W222">
        <v>0.68</v>
      </c>
      <c r="X222">
        <v>0.05</v>
      </c>
      <c r="Y222">
        <v>11.39</v>
      </c>
      <c r="Z222">
        <v>0.12</v>
      </c>
      <c r="AA222">
        <v>1.43</v>
      </c>
      <c r="AB222">
        <v>0.02</v>
      </c>
      <c r="AW222">
        <v>544</v>
      </c>
      <c r="AX222">
        <v>30</v>
      </c>
      <c r="AY222">
        <v>531</v>
      </c>
      <c r="AZ222">
        <v>20</v>
      </c>
      <c r="BA222">
        <v>678</v>
      </c>
      <c r="BB222">
        <v>24</v>
      </c>
    </row>
    <row r="223" spans="1:54" x14ac:dyDescent="0.25">
      <c r="A223">
        <v>1511</v>
      </c>
      <c r="B223" t="s">
        <v>903</v>
      </c>
      <c r="C223">
        <v>50.03</v>
      </c>
      <c r="D223">
        <v>0.54</v>
      </c>
      <c r="E223">
        <v>1.1399999999999999</v>
      </c>
      <c r="F223">
        <v>0.05</v>
      </c>
      <c r="G223">
        <v>8.43</v>
      </c>
      <c r="H223">
        <v>0.19</v>
      </c>
      <c r="I223">
        <v>0.33</v>
      </c>
      <c r="J223">
        <v>0.01</v>
      </c>
      <c r="K223">
        <v>21.29</v>
      </c>
      <c r="L223">
        <v>0.26</v>
      </c>
      <c r="M223">
        <v>0.13</v>
      </c>
      <c r="N223">
        <v>0.01</v>
      </c>
      <c r="O223">
        <v>4.3099999999999996</v>
      </c>
      <c r="P223">
        <v>0.17</v>
      </c>
      <c r="Q223">
        <v>3.7</v>
      </c>
      <c r="R223">
        <v>0.04</v>
      </c>
      <c r="S223">
        <v>2.04</v>
      </c>
      <c r="T223">
        <v>0.14000000000000001</v>
      </c>
      <c r="U223">
        <v>1.1100000000000001</v>
      </c>
      <c r="V223">
        <v>0.04</v>
      </c>
      <c r="W223">
        <v>0.82</v>
      </c>
      <c r="X223">
        <v>0.05</v>
      </c>
      <c r="Y223">
        <v>5.29</v>
      </c>
      <c r="Z223">
        <v>0.08</v>
      </c>
      <c r="AA223">
        <v>0.98</v>
      </c>
      <c r="AB223">
        <v>0.02</v>
      </c>
      <c r="AW223">
        <v>1185</v>
      </c>
      <c r="AX223">
        <v>60</v>
      </c>
      <c r="AY223">
        <v>803</v>
      </c>
      <c r="AZ223">
        <v>24</v>
      </c>
      <c r="BA223">
        <v>1143</v>
      </c>
      <c r="BB223">
        <v>35</v>
      </c>
    </row>
    <row r="224" spans="1:54" x14ac:dyDescent="0.25">
      <c r="A224">
        <v>1511</v>
      </c>
      <c r="B224" t="s">
        <v>904</v>
      </c>
      <c r="C224">
        <v>51.04</v>
      </c>
      <c r="D224">
        <v>0.54</v>
      </c>
      <c r="E224">
        <v>1.1000000000000001</v>
      </c>
      <c r="F224">
        <v>0.03</v>
      </c>
      <c r="G224">
        <v>8.9499999999999993</v>
      </c>
      <c r="H224">
        <v>0.19</v>
      </c>
      <c r="I224">
        <v>0.35</v>
      </c>
      <c r="J224">
        <v>0.01</v>
      </c>
      <c r="K224">
        <v>21.52</v>
      </c>
      <c r="L224">
        <v>0.26</v>
      </c>
      <c r="M224">
        <v>0.14000000000000001</v>
      </c>
      <c r="N224">
        <v>0.01</v>
      </c>
      <c r="O224">
        <v>4.93</v>
      </c>
      <c r="P224">
        <v>0.17</v>
      </c>
      <c r="Q224">
        <v>2.74</v>
      </c>
      <c r="R224">
        <v>0.03</v>
      </c>
      <c r="S224">
        <v>2.38</v>
      </c>
      <c r="T224">
        <v>0.14000000000000001</v>
      </c>
      <c r="U224">
        <v>1.1399999999999999</v>
      </c>
      <c r="V224">
        <v>0.04</v>
      </c>
      <c r="W224">
        <v>1.04</v>
      </c>
      <c r="X224">
        <v>7.0000000000000007E-2</v>
      </c>
      <c r="Y224">
        <v>3.07</v>
      </c>
      <c r="Z224">
        <v>0.05</v>
      </c>
      <c r="AA224">
        <v>1.17</v>
      </c>
      <c r="AB224">
        <v>0.02</v>
      </c>
      <c r="AW224">
        <v>1199</v>
      </c>
      <c r="AX224">
        <v>60</v>
      </c>
      <c r="AY224">
        <v>815</v>
      </c>
      <c r="AZ224">
        <v>24</v>
      </c>
      <c r="BA224">
        <v>683</v>
      </c>
      <c r="BB224">
        <v>24</v>
      </c>
    </row>
    <row r="225" spans="1:54" x14ac:dyDescent="0.25">
      <c r="A225">
        <v>1518</v>
      </c>
      <c r="B225" t="s">
        <v>905</v>
      </c>
      <c r="C225">
        <v>45.41</v>
      </c>
      <c r="D225">
        <v>0.54</v>
      </c>
      <c r="E225">
        <v>0.93</v>
      </c>
      <c r="F225">
        <v>0.03</v>
      </c>
      <c r="G225">
        <v>9.6999999999999993</v>
      </c>
      <c r="H225">
        <v>0.28999999999999998</v>
      </c>
      <c r="I225">
        <v>0.42</v>
      </c>
      <c r="J225">
        <v>0.01</v>
      </c>
      <c r="K225">
        <v>19.489999999999998</v>
      </c>
      <c r="L225">
        <v>0.26</v>
      </c>
      <c r="M225">
        <v>0.39</v>
      </c>
      <c r="N225">
        <v>0.01</v>
      </c>
      <c r="O225">
        <v>8.86</v>
      </c>
      <c r="P225">
        <v>0.25</v>
      </c>
      <c r="Q225">
        <v>7.17</v>
      </c>
      <c r="R225">
        <v>0.08</v>
      </c>
      <c r="S225">
        <v>2.69</v>
      </c>
      <c r="T225">
        <v>0.14000000000000001</v>
      </c>
      <c r="U225">
        <v>0.46</v>
      </c>
      <c r="V225">
        <v>0.02</v>
      </c>
      <c r="W225">
        <v>0.81</v>
      </c>
      <c r="X225">
        <v>0.05</v>
      </c>
      <c r="Y225">
        <v>3.04</v>
      </c>
      <c r="Z225">
        <v>0.05</v>
      </c>
      <c r="AA225">
        <v>0.5</v>
      </c>
      <c r="AB225">
        <v>0.01</v>
      </c>
      <c r="AW225">
        <v>548</v>
      </c>
      <c r="AX225">
        <v>30</v>
      </c>
      <c r="AY225">
        <v>212</v>
      </c>
      <c r="AZ225">
        <v>10</v>
      </c>
      <c r="BA225">
        <v>46</v>
      </c>
      <c r="BB225">
        <v>5</v>
      </c>
    </row>
    <row r="226" spans="1:54" x14ac:dyDescent="0.25">
      <c r="A226">
        <v>1518</v>
      </c>
      <c r="B226" t="s">
        <v>906</v>
      </c>
      <c r="C226">
        <v>45.54</v>
      </c>
      <c r="D226">
        <v>0.54</v>
      </c>
      <c r="E226">
        <v>0.91</v>
      </c>
      <c r="F226">
        <v>0.03</v>
      </c>
      <c r="G226">
        <v>9.66</v>
      </c>
      <c r="H226">
        <v>0.28999999999999998</v>
      </c>
      <c r="I226">
        <v>0.49</v>
      </c>
      <c r="J226">
        <v>0.01</v>
      </c>
      <c r="K226">
        <v>19.03</v>
      </c>
      <c r="L226">
        <v>0.2</v>
      </c>
      <c r="M226">
        <v>0.41</v>
      </c>
      <c r="N226">
        <v>0.01</v>
      </c>
      <c r="O226">
        <v>9.11</v>
      </c>
      <c r="P226">
        <v>0.25</v>
      </c>
      <c r="Q226">
        <v>7.39</v>
      </c>
      <c r="R226">
        <v>0.08</v>
      </c>
      <c r="S226">
        <v>2.61</v>
      </c>
      <c r="T226">
        <v>0.14000000000000001</v>
      </c>
      <c r="U226">
        <v>0.48</v>
      </c>
      <c r="V226">
        <v>0.02</v>
      </c>
      <c r="W226">
        <v>0.79</v>
      </c>
      <c r="X226">
        <v>0.05</v>
      </c>
      <c r="Y226">
        <v>2.97</v>
      </c>
      <c r="Z226">
        <v>0.05</v>
      </c>
      <c r="AA226">
        <v>0.49</v>
      </c>
      <c r="AB226">
        <v>0.01</v>
      </c>
      <c r="AW226">
        <v>493</v>
      </c>
      <c r="AX226">
        <v>24</v>
      </c>
      <c r="AY226">
        <v>208</v>
      </c>
      <c r="AZ226">
        <v>10</v>
      </c>
      <c r="BA226">
        <v>21</v>
      </c>
      <c r="BB226">
        <v>5</v>
      </c>
    </row>
    <row r="227" spans="1:54" x14ac:dyDescent="0.25">
      <c r="A227">
        <v>1523</v>
      </c>
      <c r="B227" t="s">
        <v>907</v>
      </c>
      <c r="C227">
        <v>32.36</v>
      </c>
      <c r="D227">
        <v>0.43</v>
      </c>
      <c r="E227">
        <v>0.76</v>
      </c>
      <c r="F227">
        <v>0.03</v>
      </c>
      <c r="G227">
        <v>6.48</v>
      </c>
      <c r="H227">
        <v>0.19</v>
      </c>
      <c r="I227">
        <v>0.19</v>
      </c>
      <c r="J227">
        <v>0.01</v>
      </c>
      <c r="K227">
        <v>12.91</v>
      </c>
      <c r="L227">
        <v>0.2</v>
      </c>
      <c r="M227">
        <v>0.16</v>
      </c>
      <c r="N227">
        <v>0.01</v>
      </c>
      <c r="O227">
        <v>5.36</v>
      </c>
      <c r="P227">
        <v>0.17</v>
      </c>
      <c r="Q227">
        <v>13.87</v>
      </c>
      <c r="R227">
        <v>0.14000000000000001</v>
      </c>
      <c r="S227">
        <v>2.06</v>
      </c>
      <c r="T227">
        <v>7.0000000000000007E-2</v>
      </c>
      <c r="U227">
        <v>0.36</v>
      </c>
      <c r="V227">
        <v>0.01</v>
      </c>
      <c r="W227">
        <v>1.24</v>
      </c>
      <c r="X227">
        <v>7.0000000000000007E-2</v>
      </c>
      <c r="Y227">
        <v>22.48</v>
      </c>
      <c r="Z227">
        <v>0.25</v>
      </c>
      <c r="AA227">
        <v>1.63</v>
      </c>
      <c r="AB227">
        <v>0.03</v>
      </c>
      <c r="AW227">
        <v>368</v>
      </c>
      <c r="AX227">
        <v>20</v>
      </c>
      <c r="AY227">
        <v>344</v>
      </c>
      <c r="AZ227">
        <v>15</v>
      </c>
      <c r="BA227">
        <v>197</v>
      </c>
      <c r="BB227">
        <v>10</v>
      </c>
    </row>
    <row r="228" spans="1:54" x14ac:dyDescent="0.25">
      <c r="A228">
        <v>1524</v>
      </c>
      <c r="B228" t="s">
        <v>908</v>
      </c>
      <c r="C228">
        <v>35.64</v>
      </c>
      <c r="D228">
        <v>0.43</v>
      </c>
      <c r="E228">
        <v>0.88</v>
      </c>
      <c r="F228">
        <v>0.03</v>
      </c>
      <c r="G228">
        <v>7.38</v>
      </c>
      <c r="H228">
        <v>0.19</v>
      </c>
      <c r="I228">
        <v>0.26</v>
      </c>
      <c r="J228">
        <v>0.01</v>
      </c>
      <c r="K228">
        <v>24.45</v>
      </c>
      <c r="L228">
        <v>0.26</v>
      </c>
      <c r="M228">
        <v>0.18</v>
      </c>
      <c r="N228">
        <v>0.01</v>
      </c>
      <c r="O228">
        <v>6.24</v>
      </c>
      <c r="P228">
        <v>0.17</v>
      </c>
      <c r="Q228">
        <v>6.07</v>
      </c>
      <c r="R228">
        <v>7.0000000000000007E-2</v>
      </c>
      <c r="S228">
        <v>2.29</v>
      </c>
      <c r="T228">
        <v>0.14000000000000001</v>
      </c>
      <c r="U228">
        <v>1.17</v>
      </c>
      <c r="V228">
        <v>0.04</v>
      </c>
      <c r="W228">
        <v>0.95</v>
      </c>
      <c r="X228">
        <v>7.0000000000000007E-2</v>
      </c>
      <c r="Y228">
        <v>12.61</v>
      </c>
      <c r="Z228">
        <v>0.15</v>
      </c>
      <c r="AA228">
        <v>1.61</v>
      </c>
      <c r="AB228">
        <v>0.03</v>
      </c>
      <c r="AW228">
        <v>450</v>
      </c>
      <c r="AX228">
        <v>24</v>
      </c>
      <c r="AY228">
        <v>570</v>
      </c>
      <c r="AZ228">
        <v>20</v>
      </c>
      <c r="BA228">
        <v>932</v>
      </c>
      <c r="BB228">
        <v>30</v>
      </c>
    </row>
    <row r="229" spans="1:54" x14ac:dyDescent="0.25">
      <c r="A229">
        <v>1525</v>
      </c>
      <c r="B229" t="s">
        <v>909</v>
      </c>
      <c r="C229">
        <v>51.21</v>
      </c>
      <c r="D229">
        <v>0.54</v>
      </c>
      <c r="E229">
        <v>1.1100000000000001</v>
      </c>
      <c r="F229">
        <v>0.03</v>
      </c>
      <c r="G229">
        <v>9.1199999999999992</v>
      </c>
      <c r="H229">
        <v>0.19</v>
      </c>
      <c r="I229">
        <v>0.39</v>
      </c>
      <c r="J229">
        <v>0.01</v>
      </c>
      <c r="K229">
        <v>18.89</v>
      </c>
      <c r="L229">
        <v>0.2</v>
      </c>
      <c r="M229">
        <v>0.12</v>
      </c>
      <c r="N229">
        <v>0.01</v>
      </c>
      <c r="O229">
        <v>5.04</v>
      </c>
      <c r="P229">
        <v>0.17</v>
      </c>
      <c r="Q229">
        <v>2.75</v>
      </c>
      <c r="R229">
        <v>0.03</v>
      </c>
      <c r="S229">
        <v>2.35</v>
      </c>
      <c r="T229">
        <v>0.14000000000000001</v>
      </c>
      <c r="U229">
        <v>0.95</v>
      </c>
      <c r="V229">
        <v>0.04</v>
      </c>
      <c r="W229">
        <v>0.9</v>
      </c>
      <c r="X229">
        <v>0.05</v>
      </c>
      <c r="Y229">
        <v>5.49</v>
      </c>
      <c r="Z229">
        <v>0.08</v>
      </c>
      <c r="AA229">
        <v>1.41</v>
      </c>
      <c r="AB229">
        <v>0.02</v>
      </c>
      <c r="AW229">
        <v>668</v>
      </c>
      <c r="AX229">
        <v>35</v>
      </c>
      <c r="AY229">
        <v>498</v>
      </c>
      <c r="AZ229">
        <v>15</v>
      </c>
      <c r="BA229">
        <v>599</v>
      </c>
      <c r="BB229">
        <v>20</v>
      </c>
    </row>
    <row r="230" spans="1:54" x14ac:dyDescent="0.25">
      <c r="A230">
        <v>1531</v>
      </c>
      <c r="B230" t="s">
        <v>910</v>
      </c>
      <c r="C230">
        <v>53.06</v>
      </c>
      <c r="D230">
        <v>0.54</v>
      </c>
      <c r="E230">
        <v>1.1100000000000001</v>
      </c>
      <c r="F230">
        <v>0.03</v>
      </c>
      <c r="G230">
        <v>9.86</v>
      </c>
      <c r="H230">
        <v>0.28999999999999998</v>
      </c>
      <c r="I230">
        <v>0.39</v>
      </c>
      <c r="J230">
        <v>0.01</v>
      </c>
      <c r="K230">
        <v>21.91</v>
      </c>
      <c r="L230">
        <v>0.26</v>
      </c>
      <c r="M230">
        <v>0.08</v>
      </c>
      <c r="N230">
        <v>0.01</v>
      </c>
      <c r="O230">
        <v>3.62</v>
      </c>
      <c r="P230">
        <v>0.08</v>
      </c>
      <c r="Q230">
        <v>2.21</v>
      </c>
      <c r="R230">
        <v>0.03</v>
      </c>
      <c r="S230">
        <v>2.2000000000000002</v>
      </c>
      <c r="T230">
        <v>7.0000000000000007E-2</v>
      </c>
      <c r="U230">
        <v>0.84</v>
      </c>
      <c r="V230">
        <v>0.04</v>
      </c>
      <c r="W230">
        <v>1.17</v>
      </c>
      <c r="X230">
        <v>7.0000000000000007E-2</v>
      </c>
      <c r="Y230">
        <v>2.4900000000000002</v>
      </c>
      <c r="Z230">
        <v>0.05</v>
      </c>
      <c r="AA230">
        <v>0.83</v>
      </c>
      <c r="AB230">
        <v>0.02</v>
      </c>
      <c r="AW230">
        <v>943</v>
      </c>
      <c r="AX230">
        <v>49</v>
      </c>
      <c r="AY230">
        <v>454</v>
      </c>
      <c r="AZ230">
        <v>15</v>
      </c>
      <c r="BA230">
        <v>102</v>
      </c>
      <c r="BB230">
        <v>5</v>
      </c>
    </row>
    <row r="231" spans="1:54" x14ac:dyDescent="0.25">
      <c r="A231">
        <v>1531</v>
      </c>
      <c r="B231" t="s">
        <v>911</v>
      </c>
      <c r="C231">
        <v>53.49</v>
      </c>
      <c r="D231">
        <v>0.64</v>
      </c>
      <c r="E231">
        <v>1.1100000000000001</v>
      </c>
      <c r="F231">
        <v>0.05</v>
      </c>
      <c r="G231">
        <v>9.94</v>
      </c>
      <c r="H231">
        <v>0.28999999999999998</v>
      </c>
      <c r="I231">
        <v>0.4</v>
      </c>
      <c r="J231">
        <v>0.01</v>
      </c>
      <c r="K231">
        <v>22.14</v>
      </c>
      <c r="L231">
        <v>0.26</v>
      </c>
      <c r="M231">
        <v>0.08</v>
      </c>
      <c r="N231">
        <v>0.01</v>
      </c>
      <c r="O231">
        <v>3.45</v>
      </c>
      <c r="P231">
        <v>0.08</v>
      </c>
      <c r="Q231">
        <v>2.08</v>
      </c>
      <c r="R231">
        <v>0.03</v>
      </c>
      <c r="S231">
        <v>2.1800000000000002</v>
      </c>
      <c r="T231">
        <v>7.0000000000000007E-2</v>
      </c>
      <c r="U231">
        <v>0.83</v>
      </c>
      <c r="V231">
        <v>0.04</v>
      </c>
      <c r="W231">
        <v>1.1499999999999999</v>
      </c>
      <c r="X231">
        <v>7.0000000000000007E-2</v>
      </c>
      <c r="Y231">
        <v>2.16</v>
      </c>
      <c r="Z231">
        <v>0.05</v>
      </c>
      <c r="AA231">
        <v>0.76</v>
      </c>
      <c r="AB231">
        <v>0.02</v>
      </c>
      <c r="AW231">
        <v>932</v>
      </c>
      <c r="AX231">
        <v>49</v>
      </c>
      <c r="AY231">
        <v>458</v>
      </c>
      <c r="AZ231">
        <v>15</v>
      </c>
      <c r="BA231">
        <v>104</v>
      </c>
      <c r="BB231">
        <v>5</v>
      </c>
    </row>
    <row r="232" spans="1:54" x14ac:dyDescent="0.25">
      <c r="A232">
        <v>1533</v>
      </c>
      <c r="B232" t="s">
        <v>912</v>
      </c>
      <c r="C232">
        <v>43.74</v>
      </c>
      <c r="D232">
        <v>0.54</v>
      </c>
      <c r="E232">
        <v>1.01</v>
      </c>
      <c r="F232">
        <v>0.03</v>
      </c>
      <c r="G232">
        <v>8.3000000000000007</v>
      </c>
      <c r="H232">
        <v>0.19</v>
      </c>
      <c r="I232">
        <v>0.35</v>
      </c>
      <c r="J232">
        <v>0.01</v>
      </c>
      <c r="K232">
        <v>18.59</v>
      </c>
      <c r="L232">
        <v>0.2</v>
      </c>
      <c r="M232">
        <v>0.19</v>
      </c>
      <c r="N232">
        <v>0.01</v>
      </c>
      <c r="O232">
        <v>4.76</v>
      </c>
      <c r="P232">
        <v>0.17</v>
      </c>
      <c r="Q232">
        <v>7.54</v>
      </c>
      <c r="R232">
        <v>0.08</v>
      </c>
      <c r="S232">
        <v>2.2599999999999998</v>
      </c>
      <c r="T232">
        <v>0.14000000000000001</v>
      </c>
      <c r="U232">
        <v>0.72</v>
      </c>
      <c r="V232">
        <v>0.02</v>
      </c>
      <c r="W232">
        <v>0.67</v>
      </c>
      <c r="X232">
        <v>0.05</v>
      </c>
      <c r="Y232">
        <v>10.58</v>
      </c>
      <c r="Z232">
        <v>0.12</v>
      </c>
      <c r="AA232">
        <v>1.05</v>
      </c>
      <c r="AB232">
        <v>0.02</v>
      </c>
      <c r="AW232">
        <v>929</v>
      </c>
      <c r="AX232">
        <v>49</v>
      </c>
      <c r="AY232">
        <v>648</v>
      </c>
      <c r="AZ232">
        <v>20</v>
      </c>
      <c r="BA232">
        <v>35</v>
      </c>
      <c r="BB232">
        <v>5</v>
      </c>
    </row>
    <row r="233" spans="1:54" x14ac:dyDescent="0.25">
      <c r="A233">
        <v>1537</v>
      </c>
      <c r="B233" t="s">
        <v>913</v>
      </c>
      <c r="C233">
        <v>11.94</v>
      </c>
      <c r="D233">
        <v>0.21</v>
      </c>
      <c r="E233">
        <v>0.12</v>
      </c>
      <c r="F233">
        <v>0.1</v>
      </c>
      <c r="G233">
        <v>2.57</v>
      </c>
      <c r="H233">
        <v>0.1</v>
      </c>
      <c r="I233">
        <v>0.11</v>
      </c>
      <c r="J233">
        <v>0.01</v>
      </c>
      <c r="K233">
        <v>4.43</v>
      </c>
      <c r="L233">
        <v>7.0000000000000007E-2</v>
      </c>
      <c r="M233">
        <v>0.03</v>
      </c>
      <c r="N233">
        <v>0.04</v>
      </c>
      <c r="O233">
        <v>2.4</v>
      </c>
      <c r="P233">
        <v>0.08</v>
      </c>
      <c r="Q233">
        <v>31.87</v>
      </c>
      <c r="R233">
        <v>0.32</v>
      </c>
      <c r="S233">
        <v>1.2</v>
      </c>
      <c r="T233">
        <v>0.68</v>
      </c>
      <c r="U233">
        <v>7.0000000000000007E-2</v>
      </c>
      <c r="V233">
        <v>7.0000000000000007E-2</v>
      </c>
      <c r="W233">
        <v>0.51</v>
      </c>
      <c r="X233">
        <v>0.05</v>
      </c>
      <c r="Y233">
        <v>44.13</v>
      </c>
      <c r="Z233">
        <v>0.45</v>
      </c>
      <c r="AA233">
        <v>0.57999999999999996</v>
      </c>
      <c r="AB233">
        <v>0.02</v>
      </c>
      <c r="AW233">
        <v>126</v>
      </c>
      <c r="AX233">
        <v>10</v>
      </c>
      <c r="AY233">
        <v>68</v>
      </c>
      <c r="AZ233">
        <v>5</v>
      </c>
      <c r="BA233">
        <v>27</v>
      </c>
      <c r="BB233">
        <v>5</v>
      </c>
    </row>
    <row r="234" spans="1:54" x14ac:dyDescent="0.25">
      <c r="A234">
        <v>1552</v>
      </c>
      <c r="B234" t="s">
        <v>914</v>
      </c>
      <c r="C234">
        <v>45.18</v>
      </c>
      <c r="D234">
        <v>0.54</v>
      </c>
      <c r="E234">
        <v>0.96</v>
      </c>
      <c r="F234">
        <v>0.03</v>
      </c>
      <c r="G234">
        <v>7.87</v>
      </c>
      <c r="H234">
        <v>0.19</v>
      </c>
      <c r="I234">
        <v>0.31</v>
      </c>
      <c r="J234">
        <v>0.01</v>
      </c>
      <c r="K234">
        <v>15.93</v>
      </c>
      <c r="L234">
        <v>0.2</v>
      </c>
      <c r="M234">
        <v>0.09</v>
      </c>
      <c r="N234">
        <v>0.01</v>
      </c>
      <c r="O234">
        <v>3.99</v>
      </c>
      <c r="P234">
        <v>0.08</v>
      </c>
      <c r="Q234">
        <v>7.39</v>
      </c>
      <c r="R234">
        <v>0.08</v>
      </c>
      <c r="S234">
        <v>2.1800000000000002</v>
      </c>
      <c r="T234">
        <v>0.14000000000000001</v>
      </c>
      <c r="U234">
        <v>0.98</v>
      </c>
      <c r="V234">
        <v>0.04</v>
      </c>
      <c r="W234">
        <v>1</v>
      </c>
      <c r="X234">
        <v>7.0000000000000007E-2</v>
      </c>
      <c r="Y234">
        <v>13.05</v>
      </c>
      <c r="Z234">
        <v>0.15</v>
      </c>
      <c r="AA234">
        <v>0.79</v>
      </c>
      <c r="AB234">
        <v>0.02</v>
      </c>
      <c r="AW234">
        <v>460</v>
      </c>
      <c r="AX234">
        <v>24</v>
      </c>
      <c r="AY234">
        <v>351</v>
      </c>
      <c r="AZ234">
        <v>15</v>
      </c>
      <c r="BA234">
        <v>116</v>
      </c>
      <c r="BB234">
        <v>5</v>
      </c>
    </row>
    <row r="235" spans="1:54" x14ac:dyDescent="0.25">
      <c r="A235">
        <v>1552</v>
      </c>
      <c r="B235" t="s">
        <v>915</v>
      </c>
      <c r="C235">
        <v>52.91</v>
      </c>
      <c r="D235">
        <v>0.54</v>
      </c>
      <c r="E235">
        <v>1.1599999999999999</v>
      </c>
      <c r="F235">
        <v>0.05</v>
      </c>
      <c r="G235">
        <v>9.52</v>
      </c>
      <c r="H235">
        <v>0.28999999999999998</v>
      </c>
      <c r="I235">
        <v>0.41</v>
      </c>
      <c r="J235">
        <v>0.01</v>
      </c>
      <c r="K235">
        <v>18.670000000000002</v>
      </c>
      <c r="L235">
        <v>0.2</v>
      </c>
      <c r="M235">
        <v>0.1</v>
      </c>
      <c r="N235">
        <v>0.01</v>
      </c>
      <c r="O235">
        <v>4.62</v>
      </c>
      <c r="P235">
        <v>0.17</v>
      </c>
      <c r="Q235">
        <v>2.99</v>
      </c>
      <c r="R235">
        <v>0.04</v>
      </c>
      <c r="S235">
        <v>2.37</v>
      </c>
      <c r="T235">
        <v>0.14000000000000001</v>
      </c>
      <c r="U235">
        <v>0.95</v>
      </c>
      <c r="V235">
        <v>0.04</v>
      </c>
      <c r="W235">
        <v>0.93</v>
      </c>
      <c r="X235">
        <v>7.0000000000000007E-2</v>
      </c>
      <c r="Y235">
        <v>4.16</v>
      </c>
      <c r="Z235">
        <v>0.05</v>
      </c>
      <c r="AA235">
        <v>0.99</v>
      </c>
      <c r="AB235">
        <v>0.02</v>
      </c>
      <c r="AW235">
        <v>671</v>
      </c>
      <c r="AX235">
        <v>35</v>
      </c>
      <c r="AY235">
        <v>511</v>
      </c>
      <c r="AZ235">
        <v>20</v>
      </c>
      <c r="BA235">
        <v>142</v>
      </c>
      <c r="BB235">
        <v>5</v>
      </c>
    </row>
    <row r="236" spans="1:54" x14ac:dyDescent="0.25">
      <c r="A236">
        <v>1566</v>
      </c>
      <c r="B236" t="s">
        <v>916</v>
      </c>
      <c r="C236">
        <v>46.44</v>
      </c>
      <c r="D236">
        <v>0.54</v>
      </c>
      <c r="E236">
        <v>1.06</v>
      </c>
      <c r="F236">
        <v>0.03</v>
      </c>
      <c r="G236">
        <v>9.1300000000000008</v>
      </c>
      <c r="H236">
        <v>0.19</v>
      </c>
      <c r="I236">
        <v>0.3</v>
      </c>
      <c r="J236">
        <v>0.01</v>
      </c>
      <c r="K236">
        <v>19.66</v>
      </c>
      <c r="L236">
        <v>0.26</v>
      </c>
      <c r="M236">
        <v>0.16</v>
      </c>
      <c r="N236">
        <v>0.01</v>
      </c>
      <c r="O236">
        <v>6.08</v>
      </c>
      <c r="P236">
        <v>0.17</v>
      </c>
      <c r="Q236">
        <v>3.36</v>
      </c>
      <c r="R236">
        <v>0.04</v>
      </c>
      <c r="S236">
        <v>2.86</v>
      </c>
      <c r="T236">
        <v>0.14000000000000001</v>
      </c>
      <c r="U236">
        <v>0.68</v>
      </c>
      <c r="V236">
        <v>0.02</v>
      </c>
      <c r="W236">
        <v>1.03</v>
      </c>
      <c r="X236">
        <v>7.0000000000000007E-2</v>
      </c>
      <c r="Y236">
        <v>5.85</v>
      </c>
      <c r="Z236">
        <v>0.08</v>
      </c>
      <c r="AA236">
        <v>2.97</v>
      </c>
      <c r="AB236">
        <v>0.04</v>
      </c>
      <c r="AW236">
        <v>800</v>
      </c>
      <c r="AX236">
        <v>44</v>
      </c>
      <c r="AY236">
        <v>716</v>
      </c>
      <c r="AZ236">
        <v>24</v>
      </c>
      <c r="BA236">
        <v>1430</v>
      </c>
      <c r="BB236">
        <v>44</v>
      </c>
    </row>
    <row r="237" spans="1:54" x14ac:dyDescent="0.25">
      <c r="A237">
        <v>1566</v>
      </c>
      <c r="B237" t="s">
        <v>917</v>
      </c>
      <c r="C237">
        <v>44.8</v>
      </c>
      <c r="D237">
        <v>0.54</v>
      </c>
      <c r="E237">
        <v>1.01</v>
      </c>
      <c r="F237">
        <v>0.03</v>
      </c>
      <c r="G237">
        <v>9.1300000000000008</v>
      </c>
      <c r="H237">
        <v>0.19</v>
      </c>
      <c r="I237">
        <v>0.32</v>
      </c>
      <c r="J237">
        <v>0.01</v>
      </c>
      <c r="K237">
        <v>21.39</v>
      </c>
      <c r="L237">
        <v>0.26</v>
      </c>
      <c r="M237">
        <v>0.18</v>
      </c>
      <c r="N237">
        <v>0.01</v>
      </c>
      <c r="O237">
        <v>5.96</v>
      </c>
      <c r="P237">
        <v>0.17</v>
      </c>
      <c r="Q237">
        <v>3.75</v>
      </c>
      <c r="R237">
        <v>0.04</v>
      </c>
      <c r="S237">
        <v>2.62</v>
      </c>
      <c r="T237">
        <v>0.14000000000000001</v>
      </c>
      <c r="U237">
        <v>0.83</v>
      </c>
      <c r="V237">
        <v>0.04</v>
      </c>
      <c r="W237">
        <v>1</v>
      </c>
      <c r="X237">
        <v>7.0000000000000007E-2</v>
      </c>
      <c r="Y237">
        <v>6.29</v>
      </c>
      <c r="Z237">
        <v>0.08</v>
      </c>
      <c r="AA237">
        <v>2.38</v>
      </c>
      <c r="AB237">
        <v>0.03</v>
      </c>
      <c r="AW237">
        <v>749</v>
      </c>
      <c r="AX237">
        <v>40</v>
      </c>
      <c r="AY237">
        <v>644</v>
      </c>
      <c r="AZ237">
        <v>20</v>
      </c>
      <c r="BA237">
        <v>1351</v>
      </c>
      <c r="BB237">
        <v>44</v>
      </c>
    </row>
    <row r="238" spans="1:54" x14ac:dyDescent="0.25">
      <c r="A238">
        <v>1567</v>
      </c>
      <c r="B238" t="s">
        <v>918</v>
      </c>
      <c r="C238">
        <v>47.45</v>
      </c>
      <c r="D238">
        <v>0.54</v>
      </c>
      <c r="E238">
        <v>1.08</v>
      </c>
      <c r="F238">
        <v>0.03</v>
      </c>
      <c r="G238">
        <v>9.86</v>
      </c>
      <c r="H238">
        <v>0.28999999999999998</v>
      </c>
      <c r="I238">
        <v>0.4</v>
      </c>
      <c r="J238">
        <v>0.01</v>
      </c>
      <c r="K238">
        <v>18.86</v>
      </c>
      <c r="L238">
        <v>0.2</v>
      </c>
      <c r="M238">
        <v>0.17</v>
      </c>
      <c r="N238">
        <v>0.01</v>
      </c>
      <c r="O238">
        <v>6.32</v>
      </c>
      <c r="P238">
        <v>0.17</v>
      </c>
      <c r="Q238">
        <v>3.21</v>
      </c>
      <c r="R238">
        <v>0.04</v>
      </c>
      <c r="S238">
        <v>2.77</v>
      </c>
      <c r="T238">
        <v>0.14000000000000001</v>
      </c>
      <c r="U238">
        <v>0.75</v>
      </c>
      <c r="V238">
        <v>0.02</v>
      </c>
      <c r="W238">
        <v>1.03</v>
      </c>
      <c r="X238">
        <v>7.0000000000000007E-2</v>
      </c>
      <c r="Y238">
        <v>5.3</v>
      </c>
      <c r="Z238">
        <v>0.08</v>
      </c>
      <c r="AA238">
        <v>2.46</v>
      </c>
      <c r="AB238">
        <v>0.03</v>
      </c>
      <c r="AW238">
        <v>709</v>
      </c>
      <c r="AX238">
        <v>40</v>
      </c>
      <c r="AY238">
        <v>672</v>
      </c>
      <c r="AZ238">
        <v>24</v>
      </c>
      <c r="BA238">
        <v>1333</v>
      </c>
      <c r="BB238">
        <v>44</v>
      </c>
    </row>
    <row r="239" spans="1:54" x14ac:dyDescent="0.25">
      <c r="A239">
        <v>1569</v>
      </c>
      <c r="B239" t="s">
        <v>919</v>
      </c>
      <c r="C239">
        <v>44.47</v>
      </c>
      <c r="D239">
        <v>0.54</v>
      </c>
      <c r="E239">
        <v>1.06</v>
      </c>
      <c r="F239">
        <v>0.03</v>
      </c>
      <c r="G239">
        <v>8.77</v>
      </c>
      <c r="H239">
        <v>0.19</v>
      </c>
      <c r="I239">
        <v>0.31</v>
      </c>
      <c r="J239">
        <v>0.01</v>
      </c>
      <c r="K239">
        <v>21.5</v>
      </c>
      <c r="L239">
        <v>0.26</v>
      </c>
      <c r="M239">
        <v>0.16</v>
      </c>
      <c r="N239">
        <v>0.01</v>
      </c>
      <c r="O239">
        <v>5.94</v>
      </c>
      <c r="P239">
        <v>0.17</v>
      </c>
      <c r="Q239">
        <v>3.42</v>
      </c>
      <c r="R239">
        <v>0.04</v>
      </c>
      <c r="S239">
        <v>2.72</v>
      </c>
      <c r="T239">
        <v>0.14000000000000001</v>
      </c>
      <c r="U239">
        <v>0.81</v>
      </c>
      <c r="V239">
        <v>0.04</v>
      </c>
      <c r="W239">
        <v>1.33</v>
      </c>
      <c r="X239">
        <v>7.0000000000000007E-2</v>
      </c>
      <c r="Y239">
        <v>6.45</v>
      </c>
      <c r="Z239">
        <v>0.1</v>
      </c>
      <c r="AA239">
        <v>2.66</v>
      </c>
      <c r="AB239">
        <v>0.04</v>
      </c>
      <c r="AW239">
        <v>746</v>
      </c>
      <c r="AX239">
        <v>40</v>
      </c>
      <c r="AY239">
        <v>688</v>
      </c>
      <c r="AZ239">
        <v>24</v>
      </c>
      <c r="BA239">
        <v>1323</v>
      </c>
      <c r="BB239">
        <v>40</v>
      </c>
    </row>
    <row r="240" spans="1:54" x14ac:dyDescent="0.25">
      <c r="A240">
        <v>1569</v>
      </c>
      <c r="B240" t="s">
        <v>920</v>
      </c>
      <c r="C240">
        <v>44.34</v>
      </c>
      <c r="D240">
        <v>0.54</v>
      </c>
      <c r="E240">
        <v>0.98</v>
      </c>
      <c r="F240">
        <v>0.03</v>
      </c>
      <c r="G240">
        <v>9.14</v>
      </c>
      <c r="H240">
        <v>0.19</v>
      </c>
      <c r="I240">
        <v>0.41</v>
      </c>
      <c r="J240">
        <v>0.01</v>
      </c>
      <c r="K240">
        <v>19.05</v>
      </c>
      <c r="L240">
        <v>0.2</v>
      </c>
      <c r="M240">
        <v>0.19</v>
      </c>
      <c r="N240">
        <v>0.01</v>
      </c>
      <c r="O240">
        <v>6.34</v>
      </c>
      <c r="P240">
        <v>0.17</v>
      </c>
      <c r="Q240">
        <v>4.2699999999999996</v>
      </c>
      <c r="R240">
        <v>0.06</v>
      </c>
      <c r="S240">
        <v>2.95</v>
      </c>
      <c r="T240">
        <v>0.14000000000000001</v>
      </c>
      <c r="U240">
        <v>0.84</v>
      </c>
      <c r="V240">
        <v>0.04</v>
      </c>
      <c r="W240">
        <v>0.99</v>
      </c>
      <c r="X240">
        <v>7.0000000000000007E-2</v>
      </c>
      <c r="Y240">
        <v>7.43</v>
      </c>
      <c r="Z240">
        <v>0.08</v>
      </c>
      <c r="AA240">
        <v>2.68</v>
      </c>
      <c r="AB240">
        <v>0.03</v>
      </c>
      <c r="AW240">
        <v>659</v>
      </c>
      <c r="AX240">
        <v>35</v>
      </c>
      <c r="AY240">
        <v>586</v>
      </c>
      <c r="AZ240">
        <v>20</v>
      </c>
      <c r="BA240">
        <v>1146</v>
      </c>
      <c r="BB240">
        <v>35</v>
      </c>
    </row>
    <row r="241" spans="1:54" x14ac:dyDescent="0.25">
      <c r="A241">
        <v>1570</v>
      </c>
      <c r="B241" t="s">
        <v>921</v>
      </c>
      <c r="C241">
        <v>34.04</v>
      </c>
      <c r="D241">
        <v>0.43</v>
      </c>
      <c r="E241">
        <v>0.75</v>
      </c>
      <c r="F241">
        <v>0.03</v>
      </c>
      <c r="G241">
        <v>7.54</v>
      </c>
      <c r="H241">
        <v>0.19</v>
      </c>
      <c r="I241">
        <v>0.33</v>
      </c>
      <c r="J241">
        <v>0.01</v>
      </c>
      <c r="K241">
        <v>24.83</v>
      </c>
      <c r="L241">
        <v>0.26</v>
      </c>
      <c r="M241">
        <v>0.2</v>
      </c>
      <c r="N241">
        <v>0.01</v>
      </c>
      <c r="O241">
        <v>5.86</v>
      </c>
      <c r="P241">
        <v>0.17</v>
      </c>
      <c r="Q241">
        <v>3.95</v>
      </c>
      <c r="R241">
        <v>0.04</v>
      </c>
      <c r="S241">
        <v>3.22</v>
      </c>
      <c r="T241">
        <v>0.14000000000000001</v>
      </c>
      <c r="U241">
        <v>2.29</v>
      </c>
      <c r="V241">
        <v>7.0000000000000007E-2</v>
      </c>
      <c r="W241">
        <v>0.87</v>
      </c>
      <c r="X241">
        <v>0.05</v>
      </c>
      <c r="Y241">
        <v>13.34</v>
      </c>
      <c r="Z241">
        <v>0.15</v>
      </c>
      <c r="AA241">
        <v>2.5099999999999998</v>
      </c>
      <c r="AB241">
        <v>0.04</v>
      </c>
      <c r="AW241">
        <v>476</v>
      </c>
      <c r="AX241">
        <v>24</v>
      </c>
      <c r="AY241">
        <v>405</v>
      </c>
      <c r="AZ241">
        <v>15</v>
      </c>
      <c r="BA241">
        <v>927</v>
      </c>
      <c r="BB241">
        <v>30</v>
      </c>
    </row>
    <row r="242" spans="1:54" x14ac:dyDescent="0.25">
      <c r="A242">
        <v>1570</v>
      </c>
      <c r="B242" t="s">
        <v>922</v>
      </c>
      <c r="C242">
        <v>42.91</v>
      </c>
      <c r="D242">
        <v>0.54</v>
      </c>
      <c r="E242">
        <v>0.95</v>
      </c>
      <c r="F242">
        <v>0.03</v>
      </c>
      <c r="G242">
        <v>8.49</v>
      </c>
      <c r="H242">
        <v>0.19</v>
      </c>
      <c r="I242">
        <v>0.27</v>
      </c>
      <c r="J242">
        <v>0.01</v>
      </c>
      <c r="K242">
        <v>22.37</v>
      </c>
      <c r="L242">
        <v>0.26</v>
      </c>
      <c r="M242">
        <v>0.17</v>
      </c>
      <c r="N242">
        <v>0.01</v>
      </c>
      <c r="O242">
        <v>6.26</v>
      </c>
      <c r="P242">
        <v>0.17</v>
      </c>
      <c r="Q242">
        <v>3.58</v>
      </c>
      <c r="R242">
        <v>0.04</v>
      </c>
      <c r="S242">
        <v>2.5499999999999998</v>
      </c>
      <c r="T242">
        <v>0.14000000000000001</v>
      </c>
      <c r="U242">
        <v>0.82</v>
      </c>
      <c r="V242">
        <v>0.04</v>
      </c>
      <c r="W242">
        <v>1.19</v>
      </c>
      <c r="X242">
        <v>7.0000000000000007E-2</v>
      </c>
      <c r="Y242">
        <v>7.94</v>
      </c>
      <c r="Z242">
        <v>0.1</v>
      </c>
      <c r="AA242">
        <v>2.12</v>
      </c>
      <c r="AB242">
        <v>0.03</v>
      </c>
      <c r="AW242">
        <v>769</v>
      </c>
      <c r="AX242">
        <v>40</v>
      </c>
      <c r="AY242">
        <v>666</v>
      </c>
      <c r="AZ242">
        <v>20</v>
      </c>
      <c r="BA242">
        <v>1397</v>
      </c>
      <c r="BB242">
        <v>44</v>
      </c>
    </row>
    <row r="243" spans="1:54" x14ac:dyDescent="0.25">
      <c r="A243">
        <v>1572</v>
      </c>
      <c r="B243" t="s">
        <v>923</v>
      </c>
      <c r="C243">
        <v>48.03</v>
      </c>
      <c r="D243">
        <v>0.54</v>
      </c>
      <c r="E243">
        <v>1.06</v>
      </c>
      <c r="F243">
        <v>0.03</v>
      </c>
      <c r="G243">
        <v>8.93</v>
      </c>
      <c r="H243">
        <v>0.19</v>
      </c>
      <c r="I243">
        <v>0.3</v>
      </c>
      <c r="J243">
        <v>0.01</v>
      </c>
      <c r="K243">
        <v>22.01</v>
      </c>
      <c r="L243">
        <v>0.26</v>
      </c>
      <c r="M243">
        <v>0.13</v>
      </c>
      <c r="N243">
        <v>0.01</v>
      </c>
      <c r="O243">
        <v>5.64</v>
      </c>
      <c r="P243">
        <v>0.17</v>
      </c>
      <c r="Q243">
        <v>2.44</v>
      </c>
      <c r="R243">
        <v>0.03</v>
      </c>
      <c r="S243">
        <v>2.27</v>
      </c>
      <c r="T243">
        <v>0.14000000000000001</v>
      </c>
      <c r="U243">
        <v>0.88</v>
      </c>
      <c r="V243">
        <v>0.04</v>
      </c>
      <c r="W243">
        <v>1.38</v>
      </c>
      <c r="X243">
        <v>0.09</v>
      </c>
      <c r="Y243">
        <v>5.24</v>
      </c>
      <c r="Z243">
        <v>0.08</v>
      </c>
      <c r="AA243">
        <v>1.41</v>
      </c>
      <c r="AB243">
        <v>0.02</v>
      </c>
      <c r="AW243">
        <v>1128</v>
      </c>
      <c r="AX243">
        <v>60</v>
      </c>
      <c r="AY243">
        <v>675</v>
      </c>
      <c r="AZ243">
        <v>24</v>
      </c>
      <c r="BA243">
        <v>294</v>
      </c>
      <c r="BB243">
        <v>10</v>
      </c>
    </row>
    <row r="244" spans="1:54" x14ac:dyDescent="0.25">
      <c r="A244">
        <v>1581</v>
      </c>
      <c r="B244" t="s">
        <v>924</v>
      </c>
      <c r="C244">
        <v>32.78</v>
      </c>
      <c r="D244">
        <v>0.43</v>
      </c>
      <c r="E244">
        <v>0.69</v>
      </c>
      <c r="F244">
        <v>0.03</v>
      </c>
      <c r="G244">
        <v>6.49</v>
      </c>
      <c r="H244">
        <v>0.19</v>
      </c>
      <c r="I244">
        <v>0.24</v>
      </c>
      <c r="J244">
        <v>0.01</v>
      </c>
      <c r="K244">
        <v>21.26</v>
      </c>
      <c r="L244">
        <v>0.26</v>
      </c>
      <c r="M244">
        <v>0.22</v>
      </c>
      <c r="N244">
        <v>0.01</v>
      </c>
      <c r="O244">
        <v>5.69</v>
      </c>
      <c r="P244">
        <v>0.17</v>
      </c>
      <c r="Q244">
        <v>9.17</v>
      </c>
      <c r="R244">
        <v>0.1</v>
      </c>
      <c r="S244">
        <v>2.02</v>
      </c>
      <c r="T244">
        <v>0.14000000000000001</v>
      </c>
      <c r="U244">
        <v>0.54</v>
      </c>
      <c r="V244">
        <v>0.02</v>
      </c>
      <c r="W244">
        <v>4.22</v>
      </c>
      <c r="X244">
        <v>0.23</v>
      </c>
      <c r="Y244">
        <v>15.35</v>
      </c>
      <c r="Z244">
        <v>0.17</v>
      </c>
      <c r="AA244">
        <v>1.1299999999999999</v>
      </c>
      <c r="AB244">
        <v>0.03</v>
      </c>
      <c r="AW244">
        <v>434</v>
      </c>
      <c r="AX244">
        <v>24</v>
      </c>
      <c r="AY244">
        <v>832</v>
      </c>
      <c r="AZ244">
        <v>24</v>
      </c>
      <c r="BA244">
        <v>221</v>
      </c>
      <c r="BB244">
        <v>10</v>
      </c>
    </row>
    <row r="245" spans="1:54" x14ac:dyDescent="0.25">
      <c r="A245">
        <v>1581</v>
      </c>
      <c r="B245" t="s">
        <v>925</v>
      </c>
      <c r="C245">
        <v>46.72</v>
      </c>
      <c r="D245">
        <v>0.54</v>
      </c>
      <c r="E245">
        <v>1.06</v>
      </c>
      <c r="F245">
        <v>0.03</v>
      </c>
      <c r="G245">
        <v>8.4600000000000009</v>
      </c>
      <c r="H245">
        <v>0.19</v>
      </c>
      <c r="I245">
        <v>0.32</v>
      </c>
      <c r="J245">
        <v>0.01</v>
      </c>
      <c r="K245">
        <v>20.83</v>
      </c>
      <c r="L245">
        <v>0.26</v>
      </c>
      <c r="M245">
        <v>0.19</v>
      </c>
      <c r="N245">
        <v>0.01</v>
      </c>
      <c r="O245">
        <v>6.61</v>
      </c>
      <c r="P245">
        <v>0.17</v>
      </c>
      <c r="Q245">
        <v>3.65</v>
      </c>
      <c r="R245">
        <v>0.04</v>
      </c>
      <c r="S245">
        <v>2.29</v>
      </c>
      <c r="T245">
        <v>0.14000000000000001</v>
      </c>
      <c r="U245">
        <v>0.88</v>
      </c>
      <c r="V245">
        <v>0.04</v>
      </c>
      <c r="W245">
        <v>1.1399999999999999</v>
      </c>
      <c r="X245">
        <v>7.0000000000000007E-2</v>
      </c>
      <c r="Y245">
        <v>6.16</v>
      </c>
      <c r="Z245">
        <v>0.08</v>
      </c>
      <c r="AA245">
        <v>1.37</v>
      </c>
      <c r="AB245">
        <v>0.02</v>
      </c>
      <c r="AW245">
        <v>798</v>
      </c>
      <c r="AX245">
        <v>40</v>
      </c>
      <c r="AY245">
        <v>1509</v>
      </c>
      <c r="AZ245">
        <v>49</v>
      </c>
      <c r="BA245">
        <v>355</v>
      </c>
      <c r="BB245">
        <v>15</v>
      </c>
    </row>
    <row r="246" spans="1:54" x14ac:dyDescent="0.25">
      <c r="A246">
        <v>1586</v>
      </c>
      <c r="B246" t="s">
        <v>926</v>
      </c>
      <c r="C246">
        <v>47.52</v>
      </c>
      <c r="D246">
        <v>0.54</v>
      </c>
      <c r="E246">
        <v>1.0900000000000001</v>
      </c>
      <c r="F246">
        <v>0.03</v>
      </c>
      <c r="G246">
        <v>8.42</v>
      </c>
      <c r="H246">
        <v>0.19</v>
      </c>
      <c r="I246">
        <v>0.33</v>
      </c>
      <c r="J246">
        <v>0.01</v>
      </c>
      <c r="K246">
        <v>21.15</v>
      </c>
      <c r="L246">
        <v>0.26</v>
      </c>
      <c r="M246">
        <v>0.18</v>
      </c>
      <c r="N246">
        <v>0.01</v>
      </c>
      <c r="O246">
        <v>5.97</v>
      </c>
      <c r="P246">
        <v>0.17</v>
      </c>
      <c r="Q246">
        <v>3.62</v>
      </c>
      <c r="R246">
        <v>0.04</v>
      </c>
      <c r="S246">
        <v>2.46</v>
      </c>
      <c r="T246">
        <v>0.14000000000000001</v>
      </c>
      <c r="U246">
        <v>0.82</v>
      </c>
      <c r="V246">
        <v>0.04</v>
      </c>
      <c r="W246">
        <v>1.07</v>
      </c>
      <c r="X246">
        <v>7.0000000000000007E-2</v>
      </c>
      <c r="Y246">
        <v>5.32</v>
      </c>
      <c r="Z246">
        <v>0.08</v>
      </c>
      <c r="AA246">
        <v>1.59</v>
      </c>
      <c r="AB246">
        <v>0.02</v>
      </c>
      <c r="AW246">
        <v>874</v>
      </c>
      <c r="AX246">
        <v>44</v>
      </c>
      <c r="AY246">
        <v>1823</v>
      </c>
      <c r="AZ246">
        <v>54</v>
      </c>
      <c r="BA246">
        <v>702</v>
      </c>
      <c r="BB246">
        <v>24</v>
      </c>
    </row>
    <row r="247" spans="1:54" x14ac:dyDescent="0.25">
      <c r="A247">
        <v>1586</v>
      </c>
      <c r="B247" t="s">
        <v>927</v>
      </c>
      <c r="C247">
        <v>49.1</v>
      </c>
      <c r="D247">
        <v>0.54</v>
      </c>
      <c r="E247">
        <v>1.0900000000000001</v>
      </c>
      <c r="F247">
        <v>0.03</v>
      </c>
      <c r="G247">
        <v>8.69</v>
      </c>
      <c r="H247">
        <v>0.19</v>
      </c>
      <c r="I247">
        <v>0.32</v>
      </c>
      <c r="J247">
        <v>0.01</v>
      </c>
      <c r="K247">
        <v>19.61</v>
      </c>
      <c r="L247">
        <v>0.26</v>
      </c>
      <c r="M247">
        <v>0.16</v>
      </c>
      <c r="N247">
        <v>0.01</v>
      </c>
      <c r="O247">
        <v>6.5</v>
      </c>
      <c r="P247">
        <v>0.17</v>
      </c>
      <c r="Q247">
        <v>2.42</v>
      </c>
      <c r="R247">
        <v>0.03</v>
      </c>
      <c r="S247">
        <v>2.25</v>
      </c>
      <c r="T247">
        <v>0.14000000000000001</v>
      </c>
      <c r="U247">
        <v>0.94</v>
      </c>
      <c r="V247">
        <v>0.04</v>
      </c>
      <c r="W247">
        <v>0.83</v>
      </c>
      <c r="X247">
        <v>0.05</v>
      </c>
      <c r="Y247">
        <v>6.46</v>
      </c>
      <c r="Z247">
        <v>0.08</v>
      </c>
      <c r="AA247">
        <v>1.29</v>
      </c>
      <c r="AB247">
        <v>0.02</v>
      </c>
      <c r="AW247">
        <v>991</v>
      </c>
      <c r="AX247">
        <v>49</v>
      </c>
      <c r="AY247">
        <v>1518</v>
      </c>
      <c r="AZ247">
        <v>49</v>
      </c>
      <c r="BA247">
        <v>326</v>
      </c>
      <c r="BB247">
        <v>10</v>
      </c>
    </row>
    <row r="248" spans="1:54" x14ac:dyDescent="0.25">
      <c r="A248">
        <v>1593</v>
      </c>
      <c r="B248" t="s">
        <v>928</v>
      </c>
      <c r="C248">
        <v>46.69</v>
      </c>
      <c r="D248">
        <v>0.54</v>
      </c>
      <c r="E248">
        <v>1.04</v>
      </c>
      <c r="F248">
        <v>0.03</v>
      </c>
      <c r="G248">
        <v>8.4</v>
      </c>
      <c r="H248">
        <v>0.19</v>
      </c>
      <c r="I248">
        <v>0.32</v>
      </c>
      <c r="J248">
        <v>0.01</v>
      </c>
      <c r="K248">
        <v>20.83</v>
      </c>
      <c r="L248">
        <v>0.26</v>
      </c>
      <c r="M248">
        <v>0.18</v>
      </c>
      <c r="N248">
        <v>0.01</v>
      </c>
      <c r="O248">
        <v>5.68</v>
      </c>
      <c r="P248">
        <v>0.17</v>
      </c>
      <c r="Q248">
        <v>3.42</v>
      </c>
      <c r="R248">
        <v>0.04</v>
      </c>
      <c r="S248">
        <v>2.67</v>
      </c>
      <c r="T248">
        <v>0.14000000000000001</v>
      </c>
      <c r="U248">
        <v>0.86</v>
      </c>
      <c r="V248">
        <v>0.04</v>
      </c>
      <c r="W248">
        <v>0.86</v>
      </c>
      <c r="X248">
        <v>0.05</v>
      </c>
      <c r="Y248">
        <v>6.12</v>
      </c>
      <c r="Z248">
        <v>0.08</v>
      </c>
      <c r="AA248">
        <v>2.46</v>
      </c>
      <c r="AB248">
        <v>0.03</v>
      </c>
      <c r="AW248">
        <v>890</v>
      </c>
      <c r="AX248">
        <v>44</v>
      </c>
      <c r="AY248">
        <v>1912</v>
      </c>
      <c r="AZ248">
        <v>60</v>
      </c>
      <c r="BA248">
        <v>582</v>
      </c>
      <c r="BB248">
        <v>20</v>
      </c>
    </row>
    <row r="249" spans="1:54" x14ac:dyDescent="0.25">
      <c r="A249">
        <v>1593</v>
      </c>
      <c r="B249" t="s">
        <v>929</v>
      </c>
      <c r="C249">
        <v>47.72</v>
      </c>
      <c r="D249">
        <v>0.54</v>
      </c>
      <c r="E249">
        <v>1.1000000000000001</v>
      </c>
      <c r="F249">
        <v>0.03</v>
      </c>
      <c r="G249">
        <v>8.75</v>
      </c>
      <c r="H249">
        <v>0.19</v>
      </c>
      <c r="I249">
        <v>0.31</v>
      </c>
      <c r="J249">
        <v>0.01</v>
      </c>
      <c r="K249">
        <v>20.38</v>
      </c>
      <c r="L249">
        <v>0.26</v>
      </c>
      <c r="M249">
        <v>0.19</v>
      </c>
      <c r="N249">
        <v>0.01</v>
      </c>
      <c r="O249">
        <v>5.97</v>
      </c>
      <c r="P249">
        <v>0.17</v>
      </c>
      <c r="Q249">
        <v>3.36</v>
      </c>
      <c r="R249">
        <v>0.04</v>
      </c>
      <c r="S249">
        <v>2.59</v>
      </c>
      <c r="T249">
        <v>0.14000000000000001</v>
      </c>
      <c r="U249">
        <v>0.84</v>
      </c>
      <c r="V249">
        <v>0.04</v>
      </c>
      <c r="W249">
        <v>0.81</v>
      </c>
      <c r="X249">
        <v>0.05</v>
      </c>
      <c r="Y249">
        <v>5.46</v>
      </c>
      <c r="Z249">
        <v>0.08</v>
      </c>
      <c r="AA249">
        <v>2.13</v>
      </c>
      <c r="AB249">
        <v>0.03</v>
      </c>
      <c r="AW249">
        <v>878</v>
      </c>
      <c r="AX249">
        <v>44</v>
      </c>
      <c r="AY249">
        <v>1920</v>
      </c>
      <c r="AZ249">
        <v>60</v>
      </c>
      <c r="BA249">
        <v>516</v>
      </c>
      <c r="BB249">
        <v>20</v>
      </c>
    </row>
    <row r="250" spans="1:54" x14ac:dyDescent="0.25">
      <c r="A250">
        <v>1600</v>
      </c>
      <c r="B250" t="s">
        <v>930</v>
      </c>
      <c r="C250">
        <v>46.24</v>
      </c>
      <c r="D250">
        <v>0.54</v>
      </c>
      <c r="E250">
        <v>1.05</v>
      </c>
      <c r="F250">
        <v>0.03</v>
      </c>
      <c r="G250">
        <v>8.31</v>
      </c>
      <c r="H250">
        <v>0.19</v>
      </c>
      <c r="I250">
        <v>0.3</v>
      </c>
      <c r="J250">
        <v>0.01</v>
      </c>
      <c r="K250">
        <v>20.149999999999999</v>
      </c>
      <c r="L250">
        <v>0.26</v>
      </c>
      <c r="M250">
        <v>0.19</v>
      </c>
      <c r="N250">
        <v>0.01</v>
      </c>
      <c r="O250">
        <v>5.71</v>
      </c>
      <c r="P250">
        <v>0.17</v>
      </c>
      <c r="Q250">
        <v>4.32</v>
      </c>
      <c r="R250">
        <v>0.06</v>
      </c>
      <c r="S250">
        <v>2.5499999999999998</v>
      </c>
      <c r="T250">
        <v>0.14000000000000001</v>
      </c>
      <c r="U250">
        <v>0.82</v>
      </c>
      <c r="V250">
        <v>0.04</v>
      </c>
      <c r="W250">
        <v>1.46</v>
      </c>
      <c r="X250">
        <v>0.09</v>
      </c>
      <c r="Y250">
        <v>6.64</v>
      </c>
      <c r="Z250">
        <v>0.1</v>
      </c>
      <c r="AA250">
        <v>1.9</v>
      </c>
      <c r="AB250">
        <v>0.03</v>
      </c>
      <c r="AW250">
        <v>793</v>
      </c>
      <c r="AX250">
        <v>40</v>
      </c>
      <c r="AY250">
        <v>1213</v>
      </c>
      <c r="AZ250">
        <v>40</v>
      </c>
      <c r="BA250">
        <v>790</v>
      </c>
      <c r="BB250">
        <v>24</v>
      </c>
    </row>
    <row r="251" spans="1:54" x14ac:dyDescent="0.25">
      <c r="A251">
        <v>1600</v>
      </c>
      <c r="B251" t="s">
        <v>931</v>
      </c>
      <c r="C251">
        <v>44.97</v>
      </c>
      <c r="D251">
        <v>0.54</v>
      </c>
      <c r="E251">
        <v>1.04</v>
      </c>
      <c r="F251">
        <v>0.03</v>
      </c>
      <c r="G251">
        <v>8.7100000000000009</v>
      </c>
      <c r="H251">
        <v>0.19</v>
      </c>
      <c r="I251">
        <v>0.4</v>
      </c>
      <c r="J251">
        <v>0.01</v>
      </c>
      <c r="K251">
        <v>20.43</v>
      </c>
      <c r="L251">
        <v>0.26</v>
      </c>
      <c r="M251">
        <v>0.41</v>
      </c>
      <c r="N251">
        <v>0.01</v>
      </c>
      <c r="O251">
        <v>8.15</v>
      </c>
      <c r="P251">
        <v>0.17</v>
      </c>
      <c r="Q251">
        <v>6.11</v>
      </c>
      <c r="R251">
        <v>7.0000000000000007E-2</v>
      </c>
      <c r="S251">
        <v>2.92</v>
      </c>
      <c r="T251">
        <v>0.14000000000000001</v>
      </c>
      <c r="U251">
        <v>2.0099999999999998</v>
      </c>
      <c r="V251">
        <v>7.0000000000000007E-2</v>
      </c>
      <c r="W251">
        <v>0.85</v>
      </c>
      <c r="X251">
        <v>0.05</v>
      </c>
      <c r="Y251">
        <v>3.06</v>
      </c>
      <c r="Z251">
        <v>0.05</v>
      </c>
      <c r="AA251">
        <v>0.69</v>
      </c>
      <c r="AB251">
        <v>0.02</v>
      </c>
      <c r="AW251">
        <v>368</v>
      </c>
      <c r="AX251">
        <v>20</v>
      </c>
      <c r="AY251">
        <v>1312</v>
      </c>
      <c r="AZ251">
        <v>40</v>
      </c>
      <c r="BA251">
        <v>133</v>
      </c>
      <c r="BB251">
        <v>5</v>
      </c>
    </row>
    <row r="252" spans="1:54" x14ac:dyDescent="0.25">
      <c r="A252">
        <v>1602</v>
      </c>
      <c r="B252" t="s">
        <v>932</v>
      </c>
      <c r="C252">
        <v>44.09</v>
      </c>
      <c r="D252">
        <v>0.54</v>
      </c>
      <c r="E252">
        <v>1.02</v>
      </c>
      <c r="F252">
        <v>0.03</v>
      </c>
      <c r="G252">
        <v>9.1</v>
      </c>
      <c r="H252">
        <v>0.19</v>
      </c>
      <c r="I252">
        <v>0.66</v>
      </c>
      <c r="J252">
        <v>0.01</v>
      </c>
      <c r="K252">
        <v>20.46</v>
      </c>
      <c r="L252">
        <v>0.26</v>
      </c>
      <c r="M252">
        <v>0.44</v>
      </c>
      <c r="N252">
        <v>0.01</v>
      </c>
      <c r="O252">
        <v>9.76</v>
      </c>
      <c r="P252">
        <v>0.25</v>
      </c>
      <c r="Q252">
        <v>7.25</v>
      </c>
      <c r="R252">
        <v>0.08</v>
      </c>
      <c r="S252">
        <v>2.5299999999999998</v>
      </c>
      <c r="T252">
        <v>0.14000000000000001</v>
      </c>
      <c r="U252">
        <v>0.41</v>
      </c>
      <c r="V252">
        <v>0.02</v>
      </c>
      <c r="W252">
        <v>0.77</v>
      </c>
      <c r="X252">
        <v>0.05</v>
      </c>
      <c r="Y252">
        <v>2.96</v>
      </c>
      <c r="Z252">
        <v>0.05</v>
      </c>
      <c r="AA252">
        <v>0.45</v>
      </c>
      <c r="AB252">
        <v>0.02</v>
      </c>
      <c r="AW252">
        <v>456</v>
      </c>
      <c r="AX252">
        <v>24</v>
      </c>
      <c r="AY252">
        <v>228</v>
      </c>
      <c r="AZ252">
        <v>10</v>
      </c>
      <c r="BA252">
        <v>24</v>
      </c>
      <c r="BB252">
        <v>5</v>
      </c>
    </row>
    <row r="253" spans="1:54" x14ac:dyDescent="0.25">
      <c r="A253">
        <v>1603</v>
      </c>
      <c r="B253" t="s">
        <v>933</v>
      </c>
      <c r="C253">
        <v>43.93</v>
      </c>
      <c r="D253">
        <v>0.54</v>
      </c>
      <c r="E253">
        <v>0.88</v>
      </c>
      <c r="F253">
        <v>0.03</v>
      </c>
      <c r="G253">
        <v>8.57</v>
      </c>
      <c r="H253">
        <v>0.19</v>
      </c>
      <c r="I253">
        <v>0.45</v>
      </c>
      <c r="J253">
        <v>0.01</v>
      </c>
      <c r="K253">
        <v>21.11</v>
      </c>
      <c r="L253">
        <v>0.26</v>
      </c>
      <c r="M253">
        <v>0.43</v>
      </c>
      <c r="N253">
        <v>0.01</v>
      </c>
      <c r="O253">
        <v>10.97</v>
      </c>
      <c r="P253">
        <v>0.25</v>
      </c>
      <c r="Q253">
        <v>6.94</v>
      </c>
      <c r="R253">
        <v>7.0000000000000007E-2</v>
      </c>
      <c r="S253">
        <v>2.44</v>
      </c>
      <c r="T253">
        <v>0.14000000000000001</v>
      </c>
      <c r="U253">
        <v>0.37</v>
      </c>
      <c r="V253">
        <v>0.01</v>
      </c>
      <c r="W253">
        <v>0.74</v>
      </c>
      <c r="X253">
        <v>0.05</v>
      </c>
      <c r="Y253">
        <v>2.61</v>
      </c>
      <c r="Z253">
        <v>0.05</v>
      </c>
      <c r="AA253">
        <v>0.44</v>
      </c>
      <c r="AB253">
        <v>0.02</v>
      </c>
      <c r="AW253">
        <v>706</v>
      </c>
      <c r="AX253">
        <v>40</v>
      </c>
      <c r="AY253">
        <v>175</v>
      </c>
      <c r="AZ253">
        <v>10</v>
      </c>
      <c r="BA253">
        <v>35</v>
      </c>
      <c r="BB253">
        <v>5</v>
      </c>
    </row>
    <row r="254" spans="1:54" x14ac:dyDescent="0.25">
      <c r="A254">
        <v>1606</v>
      </c>
      <c r="B254" t="s">
        <v>934</v>
      </c>
      <c r="C254">
        <v>47.96</v>
      </c>
      <c r="D254">
        <v>0.54</v>
      </c>
      <c r="E254">
        <v>1.07</v>
      </c>
      <c r="F254">
        <v>0.03</v>
      </c>
      <c r="G254">
        <v>8.74</v>
      </c>
      <c r="H254">
        <v>0.19</v>
      </c>
      <c r="I254">
        <v>0.34</v>
      </c>
      <c r="J254">
        <v>0.01</v>
      </c>
      <c r="K254">
        <v>19.87</v>
      </c>
      <c r="L254">
        <v>0.26</v>
      </c>
      <c r="M254">
        <v>0.17</v>
      </c>
      <c r="N254">
        <v>0.01</v>
      </c>
      <c r="O254">
        <v>7.27</v>
      </c>
      <c r="P254">
        <v>0.17</v>
      </c>
      <c r="Q254">
        <v>3.42</v>
      </c>
      <c r="R254">
        <v>0.04</v>
      </c>
      <c r="S254">
        <v>2.33</v>
      </c>
      <c r="T254">
        <v>0.14000000000000001</v>
      </c>
      <c r="U254">
        <v>0.78</v>
      </c>
      <c r="V254">
        <v>0.02</v>
      </c>
      <c r="W254">
        <v>0.87</v>
      </c>
      <c r="X254">
        <v>0.05</v>
      </c>
      <c r="Y254">
        <v>5.47</v>
      </c>
      <c r="Z254">
        <v>0.08</v>
      </c>
      <c r="AA254">
        <v>1.36</v>
      </c>
      <c r="AB254">
        <v>0.02</v>
      </c>
      <c r="AW254">
        <v>850</v>
      </c>
      <c r="AX254">
        <v>44</v>
      </c>
      <c r="AY254">
        <v>1674</v>
      </c>
      <c r="AZ254">
        <v>54</v>
      </c>
      <c r="BA254">
        <v>270</v>
      </c>
      <c r="BB254">
        <v>10</v>
      </c>
    </row>
    <row r="255" spans="1:54" x14ac:dyDescent="0.25">
      <c r="A255">
        <v>1606</v>
      </c>
      <c r="B255" t="s">
        <v>935</v>
      </c>
      <c r="C255">
        <v>42.24</v>
      </c>
      <c r="D255">
        <v>0.43</v>
      </c>
      <c r="E255">
        <v>0.76</v>
      </c>
      <c r="F255">
        <v>0.03</v>
      </c>
      <c r="G255">
        <v>10.02</v>
      </c>
      <c r="H255">
        <v>0.28999999999999998</v>
      </c>
      <c r="I255">
        <v>0.38</v>
      </c>
      <c r="J255">
        <v>0.01</v>
      </c>
      <c r="K255">
        <v>19.7</v>
      </c>
      <c r="L255">
        <v>0.26</v>
      </c>
      <c r="M255">
        <v>0.44</v>
      </c>
      <c r="N255">
        <v>0.01</v>
      </c>
      <c r="O255">
        <v>7.81</v>
      </c>
      <c r="P255">
        <v>0.17</v>
      </c>
      <c r="Q255">
        <v>9.89</v>
      </c>
      <c r="R255">
        <v>0.11</v>
      </c>
      <c r="S255">
        <v>2.31</v>
      </c>
      <c r="T255">
        <v>0.14000000000000001</v>
      </c>
      <c r="U255">
        <v>0.16</v>
      </c>
      <c r="V255">
        <v>0.01</v>
      </c>
      <c r="W255">
        <v>0.74</v>
      </c>
      <c r="X255">
        <v>0.05</v>
      </c>
      <c r="Y255">
        <v>4.7300000000000004</v>
      </c>
      <c r="Z255">
        <v>0.05</v>
      </c>
      <c r="AA255">
        <v>0.74</v>
      </c>
      <c r="AB255">
        <v>0.02</v>
      </c>
      <c r="AW255">
        <v>130</v>
      </c>
      <c r="AX255">
        <v>10</v>
      </c>
      <c r="AY255">
        <v>97</v>
      </c>
      <c r="AZ255">
        <v>5</v>
      </c>
      <c r="BA255">
        <v>49</v>
      </c>
      <c r="BB255">
        <v>10</v>
      </c>
    </row>
    <row r="256" spans="1:54" x14ac:dyDescent="0.25">
      <c r="A256">
        <v>1609</v>
      </c>
      <c r="B256" t="s">
        <v>936</v>
      </c>
      <c r="C256">
        <v>46.11</v>
      </c>
      <c r="D256">
        <v>0.54</v>
      </c>
      <c r="E256">
        <v>0.88</v>
      </c>
      <c r="F256">
        <v>0.03</v>
      </c>
      <c r="G256">
        <v>9.08</v>
      </c>
      <c r="H256">
        <v>0.19</v>
      </c>
      <c r="I256">
        <v>0.5</v>
      </c>
      <c r="J256">
        <v>0.03</v>
      </c>
      <c r="K256">
        <v>19.43</v>
      </c>
      <c r="L256">
        <v>0.26</v>
      </c>
      <c r="M256">
        <v>0.37</v>
      </c>
      <c r="N256">
        <v>0.01</v>
      </c>
      <c r="O256">
        <v>9.36</v>
      </c>
      <c r="P256">
        <v>0.25</v>
      </c>
      <c r="Q256">
        <v>6.44</v>
      </c>
      <c r="R256">
        <v>7.0000000000000007E-2</v>
      </c>
      <c r="S256">
        <v>2.61</v>
      </c>
      <c r="T256">
        <v>0.14000000000000001</v>
      </c>
      <c r="U256">
        <v>0.28999999999999998</v>
      </c>
      <c r="V256">
        <v>0.01</v>
      </c>
      <c r="W256">
        <v>0.77</v>
      </c>
      <c r="X256">
        <v>0.05</v>
      </c>
      <c r="Y256">
        <v>2.63</v>
      </c>
      <c r="Z256">
        <v>0.08</v>
      </c>
      <c r="AA256">
        <v>1.32</v>
      </c>
      <c r="AB256">
        <v>0.03</v>
      </c>
      <c r="AW256">
        <v>351</v>
      </c>
      <c r="AX256">
        <v>24</v>
      </c>
      <c r="AY256">
        <v>454</v>
      </c>
      <c r="AZ256">
        <v>15</v>
      </c>
      <c r="BA256">
        <v>199</v>
      </c>
      <c r="BB256">
        <v>10</v>
      </c>
    </row>
    <row r="257" spans="1:54" x14ac:dyDescent="0.25">
      <c r="A257">
        <v>1609</v>
      </c>
      <c r="B257" t="s">
        <v>937</v>
      </c>
      <c r="C257">
        <v>49.73</v>
      </c>
      <c r="D257">
        <v>0.54</v>
      </c>
      <c r="E257">
        <v>1.1200000000000001</v>
      </c>
      <c r="F257">
        <v>0.05</v>
      </c>
      <c r="G257">
        <v>8.86</v>
      </c>
      <c r="H257">
        <v>0.19</v>
      </c>
      <c r="I257">
        <v>0.32</v>
      </c>
      <c r="J257">
        <v>0.01</v>
      </c>
      <c r="K257">
        <v>20.59</v>
      </c>
      <c r="L257">
        <v>0.26</v>
      </c>
      <c r="M257">
        <v>0.15</v>
      </c>
      <c r="N257">
        <v>0.01</v>
      </c>
      <c r="O257">
        <v>6.25</v>
      </c>
      <c r="P257">
        <v>0.17</v>
      </c>
      <c r="Q257">
        <v>3.1</v>
      </c>
      <c r="R257">
        <v>0.04</v>
      </c>
      <c r="S257">
        <v>2.31</v>
      </c>
      <c r="T257">
        <v>0.14000000000000001</v>
      </c>
      <c r="U257">
        <v>0.86</v>
      </c>
      <c r="V257">
        <v>0.04</v>
      </c>
      <c r="W257">
        <v>1.28</v>
      </c>
      <c r="X257">
        <v>7.0000000000000007E-2</v>
      </c>
      <c r="Y257">
        <v>3.7</v>
      </c>
      <c r="Z257">
        <v>0.05</v>
      </c>
      <c r="AA257">
        <v>1.35</v>
      </c>
      <c r="AB257">
        <v>0.02</v>
      </c>
      <c r="AW257">
        <v>824</v>
      </c>
      <c r="AX257">
        <v>44</v>
      </c>
      <c r="AY257">
        <v>1581</v>
      </c>
      <c r="AZ257">
        <v>49</v>
      </c>
      <c r="BA257">
        <v>368</v>
      </c>
      <c r="BB257">
        <v>15</v>
      </c>
    </row>
    <row r="258" spans="1:54" x14ac:dyDescent="0.25">
      <c r="A258">
        <v>1614</v>
      </c>
      <c r="B258" t="s">
        <v>938</v>
      </c>
      <c r="C258">
        <v>43.25</v>
      </c>
      <c r="D258">
        <v>0.54</v>
      </c>
      <c r="E258">
        <v>1.01</v>
      </c>
      <c r="F258">
        <v>0.03</v>
      </c>
      <c r="G258">
        <v>7.97</v>
      </c>
      <c r="H258">
        <v>0.19</v>
      </c>
      <c r="I258">
        <v>0.27</v>
      </c>
      <c r="J258">
        <v>0.01</v>
      </c>
      <c r="K258">
        <v>18.46</v>
      </c>
      <c r="L258">
        <v>0.2</v>
      </c>
      <c r="M258">
        <v>0.17</v>
      </c>
      <c r="N258">
        <v>0.01</v>
      </c>
      <c r="O258">
        <v>5.22</v>
      </c>
      <c r="P258">
        <v>0.17</v>
      </c>
      <c r="Q258">
        <v>7.15</v>
      </c>
      <c r="R258">
        <v>0.08</v>
      </c>
      <c r="S258">
        <v>2.19</v>
      </c>
      <c r="T258">
        <v>0.14000000000000001</v>
      </c>
      <c r="U258">
        <v>0.82</v>
      </c>
      <c r="V258">
        <v>0.04</v>
      </c>
      <c r="W258">
        <v>1.22</v>
      </c>
      <c r="X258">
        <v>7.0000000000000007E-2</v>
      </c>
      <c r="Y258">
        <v>10.96</v>
      </c>
      <c r="Z258">
        <v>0.15</v>
      </c>
      <c r="AA258">
        <v>1.05</v>
      </c>
      <c r="AB258">
        <v>0.03</v>
      </c>
      <c r="AW258">
        <v>742</v>
      </c>
      <c r="AX258">
        <v>40</v>
      </c>
      <c r="AY258">
        <v>1020</v>
      </c>
      <c r="AZ258">
        <v>35</v>
      </c>
      <c r="BA258">
        <v>92</v>
      </c>
      <c r="BB258">
        <v>5</v>
      </c>
    </row>
    <row r="259" spans="1:54" x14ac:dyDescent="0.25">
      <c r="A259">
        <v>1614</v>
      </c>
      <c r="B259" t="s">
        <v>939</v>
      </c>
      <c r="C259">
        <v>42.59</v>
      </c>
      <c r="D259">
        <v>0.43</v>
      </c>
      <c r="E259">
        <v>0.93</v>
      </c>
      <c r="F259">
        <v>0.03</v>
      </c>
      <c r="G259">
        <v>8.18</v>
      </c>
      <c r="H259">
        <v>0.19</v>
      </c>
      <c r="I259">
        <v>0.34</v>
      </c>
      <c r="J259">
        <v>0.01</v>
      </c>
      <c r="K259">
        <v>17.95</v>
      </c>
      <c r="L259">
        <v>0.2</v>
      </c>
      <c r="M259">
        <v>0.2</v>
      </c>
      <c r="N259">
        <v>0.01</v>
      </c>
      <c r="O259">
        <v>5.8</v>
      </c>
      <c r="P259">
        <v>0.17</v>
      </c>
      <c r="Q259">
        <v>8</v>
      </c>
      <c r="R259">
        <v>0.08</v>
      </c>
      <c r="S259">
        <v>2.25</v>
      </c>
      <c r="T259">
        <v>0.14000000000000001</v>
      </c>
      <c r="U259">
        <v>0.72</v>
      </c>
      <c r="V259">
        <v>0.02</v>
      </c>
      <c r="W259">
        <v>1.03</v>
      </c>
      <c r="X259">
        <v>7.0000000000000007E-2</v>
      </c>
      <c r="Y259">
        <v>10.93</v>
      </c>
      <c r="Z259">
        <v>0.12</v>
      </c>
      <c r="AA259">
        <v>0.86</v>
      </c>
      <c r="AB259">
        <v>0.02</v>
      </c>
      <c r="AW259">
        <v>645</v>
      </c>
      <c r="AX259">
        <v>35</v>
      </c>
      <c r="AY259">
        <v>855</v>
      </c>
      <c r="AZ259">
        <v>30</v>
      </c>
      <c r="BA259">
        <v>71</v>
      </c>
      <c r="BB259">
        <v>5</v>
      </c>
    </row>
    <row r="260" spans="1:54" x14ac:dyDescent="0.25">
      <c r="A260">
        <v>1618</v>
      </c>
      <c r="B260" t="s">
        <v>940</v>
      </c>
      <c r="C260">
        <v>43.35</v>
      </c>
      <c r="D260">
        <v>0.54</v>
      </c>
      <c r="E260">
        <v>1.1299999999999999</v>
      </c>
      <c r="F260">
        <v>0.05</v>
      </c>
      <c r="G260">
        <v>8.67</v>
      </c>
      <c r="H260">
        <v>0.19</v>
      </c>
      <c r="I260">
        <v>0.79</v>
      </c>
      <c r="J260">
        <v>0.03</v>
      </c>
      <c r="K260">
        <v>21.52</v>
      </c>
      <c r="L260">
        <v>0.26</v>
      </c>
      <c r="M260">
        <v>0.45</v>
      </c>
      <c r="N260">
        <v>0.01</v>
      </c>
      <c r="O260">
        <v>9.73</v>
      </c>
      <c r="P260">
        <v>0.25</v>
      </c>
      <c r="Q260">
        <v>7.18</v>
      </c>
      <c r="R260">
        <v>0.08</v>
      </c>
      <c r="S260">
        <v>2.41</v>
      </c>
      <c r="T260">
        <v>0.14000000000000001</v>
      </c>
      <c r="U260">
        <v>0.39</v>
      </c>
      <c r="V260">
        <v>0.01</v>
      </c>
      <c r="W260">
        <v>0.75</v>
      </c>
      <c r="X260">
        <v>0.05</v>
      </c>
      <c r="Y260">
        <v>3.02</v>
      </c>
      <c r="Z260">
        <v>0.08</v>
      </c>
      <c r="AA260">
        <v>0.49</v>
      </c>
      <c r="AB260">
        <v>0.02</v>
      </c>
      <c r="AW260">
        <v>434</v>
      </c>
      <c r="AX260">
        <v>24</v>
      </c>
      <c r="AY260">
        <v>212</v>
      </c>
      <c r="AZ260">
        <v>15</v>
      </c>
      <c r="BA260">
        <v>19</v>
      </c>
      <c r="BB260">
        <v>5</v>
      </c>
    </row>
    <row r="261" spans="1:54" x14ac:dyDescent="0.25">
      <c r="A261">
        <v>1618</v>
      </c>
      <c r="B261" t="s">
        <v>941</v>
      </c>
      <c r="C261">
        <v>43.97</v>
      </c>
      <c r="D261">
        <v>0.54</v>
      </c>
      <c r="E261">
        <v>1.02</v>
      </c>
      <c r="F261">
        <v>0.03</v>
      </c>
      <c r="G261">
        <v>8.91</v>
      </c>
      <c r="H261">
        <v>0.19</v>
      </c>
      <c r="I261">
        <v>0.63</v>
      </c>
      <c r="J261">
        <v>0.01</v>
      </c>
      <c r="K261">
        <v>20.82</v>
      </c>
      <c r="L261">
        <v>0.26</v>
      </c>
      <c r="M261">
        <v>0.45</v>
      </c>
      <c r="N261">
        <v>0.01</v>
      </c>
      <c r="O261">
        <v>9.75</v>
      </c>
      <c r="P261">
        <v>0.25</v>
      </c>
      <c r="Q261">
        <v>7.28</v>
      </c>
      <c r="R261">
        <v>0.08</v>
      </c>
      <c r="S261">
        <v>2.4300000000000002</v>
      </c>
      <c r="T261">
        <v>0.14000000000000001</v>
      </c>
      <c r="U261">
        <v>0.39</v>
      </c>
      <c r="V261">
        <v>0.01</v>
      </c>
      <c r="W261">
        <v>0.77</v>
      </c>
      <c r="X261">
        <v>0.05</v>
      </c>
      <c r="Y261">
        <v>2.99</v>
      </c>
      <c r="Z261">
        <v>0.05</v>
      </c>
      <c r="AA261">
        <v>0.47</v>
      </c>
      <c r="AB261">
        <v>0.02</v>
      </c>
      <c r="AW261">
        <v>430</v>
      </c>
      <c r="AX261">
        <v>24</v>
      </c>
      <c r="AY261">
        <v>210</v>
      </c>
      <c r="AZ261">
        <v>10</v>
      </c>
      <c r="BA261">
        <v>20</v>
      </c>
      <c r="BB261">
        <v>5</v>
      </c>
    </row>
    <row r="262" spans="1:54" x14ac:dyDescent="0.25">
      <c r="A262">
        <v>1634</v>
      </c>
      <c r="B262" t="s">
        <v>942</v>
      </c>
      <c r="C262">
        <v>46.43</v>
      </c>
      <c r="D262">
        <v>0.54</v>
      </c>
      <c r="E262">
        <v>1.04</v>
      </c>
      <c r="F262">
        <v>0.03</v>
      </c>
      <c r="G262">
        <v>8.26</v>
      </c>
      <c r="H262">
        <v>0.19</v>
      </c>
      <c r="I262">
        <v>0.28000000000000003</v>
      </c>
      <c r="J262">
        <v>0.01</v>
      </c>
      <c r="K262">
        <v>20.96</v>
      </c>
      <c r="L262">
        <v>0.26</v>
      </c>
      <c r="M262">
        <v>0.18</v>
      </c>
      <c r="N262">
        <v>0.01</v>
      </c>
      <c r="O262">
        <v>6.01</v>
      </c>
      <c r="P262">
        <v>0.17</v>
      </c>
      <c r="Q262">
        <v>3.75</v>
      </c>
      <c r="R262">
        <v>0.04</v>
      </c>
      <c r="S262">
        <v>2.31</v>
      </c>
      <c r="T262">
        <v>0.14000000000000001</v>
      </c>
      <c r="U262">
        <v>0.79</v>
      </c>
      <c r="V262">
        <v>0.02</v>
      </c>
      <c r="W262">
        <v>0.95</v>
      </c>
      <c r="X262">
        <v>7.0000000000000007E-2</v>
      </c>
      <c r="Y262">
        <v>6.9</v>
      </c>
      <c r="Z262">
        <v>0.12</v>
      </c>
      <c r="AA262">
        <v>1.8</v>
      </c>
      <c r="AB262">
        <v>0.04</v>
      </c>
      <c r="AW262">
        <v>728</v>
      </c>
      <c r="AX262">
        <v>40</v>
      </c>
      <c r="AY262">
        <v>1697</v>
      </c>
      <c r="AZ262">
        <v>54</v>
      </c>
      <c r="BA262">
        <v>252</v>
      </c>
      <c r="BB262">
        <v>10</v>
      </c>
    </row>
    <row r="263" spans="1:54" x14ac:dyDescent="0.25">
      <c r="A263">
        <v>1634</v>
      </c>
      <c r="B263" t="s">
        <v>943</v>
      </c>
      <c r="C263">
        <v>45.37</v>
      </c>
      <c r="D263">
        <v>0.54</v>
      </c>
      <c r="E263">
        <v>1.02</v>
      </c>
      <c r="F263">
        <v>0.03</v>
      </c>
      <c r="G263">
        <v>8.32</v>
      </c>
      <c r="H263">
        <v>0.19</v>
      </c>
      <c r="I263">
        <v>0.31</v>
      </c>
      <c r="J263">
        <v>0.01</v>
      </c>
      <c r="K263">
        <v>20.32</v>
      </c>
      <c r="L263">
        <v>0.26</v>
      </c>
      <c r="M263">
        <v>0.21</v>
      </c>
      <c r="N263">
        <v>0.01</v>
      </c>
      <c r="O263">
        <v>6.15</v>
      </c>
      <c r="P263">
        <v>0.17</v>
      </c>
      <c r="Q263">
        <v>4.53</v>
      </c>
      <c r="R263">
        <v>0.06</v>
      </c>
      <c r="S263">
        <v>2.4</v>
      </c>
      <c r="T263">
        <v>0.14000000000000001</v>
      </c>
      <c r="U263">
        <v>0.74</v>
      </c>
      <c r="V263">
        <v>0.02</v>
      </c>
      <c r="W263">
        <v>1.07</v>
      </c>
      <c r="X263">
        <v>7.0000000000000007E-2</v>
      </c>
      <c r="Y263">
        <v>7.41</v>
      </c>
      <c r="Z263">
        <v>0.08</v>
      </c>
      <c r="AA263">
        <v>1.8</v>
      </c>
      <c r="AB263">
        <v>0.03</v>
      </c>
      <c r="AW263">
        <v>705</v>
      </c>
      <c r="AX263">
        <v>40</v>
      </c>
      <c r="AY263">
        <v>1555</v>
      </c>
      <c r="AZ263">
        <v>49</v>
      </c>
      <c r="BA263">
        <v>303</v>
      </c>
      <c r="BB263">
        <v>10</v>
      </c>
    </row>
    <row r="264" spans="1:54" x14ac:dyDescent="0.25">
      <c r="A264">
        <v>1637</v>
      </c>
      <c r="B264" t="s">
        <v>944</v>
      </c>
      <c r="C264">
        <v>42.43</v>
      </c>
      <c r="D264">
        <v>0.43</v>
      </c>
      <c r="E264">
        <v>0.96</v>
      </c>
      <c r="F264">
        <v>0.03</v>
      </c>
      <c r="G264">
        <v>7.63</v>
      </c>
      <c r="H264">
        <v>0.19</v>
      </c>
      <c r="I264">
        <v>0.51</v>
      </c>
      <c r="J264">
        <v>0.01</v>
      </c>
      <c r="K264">
        <v>22.79</v>
      </c>
      <c r="L264">
        <v>0.26</v>
      </c>
      <c r="M264">
        <v>0.47</v>
      </c>
      <c r="N264">
        <v>0.01</v>
      </c>
      <c r="O264">
        <v>12.27</v>
      </c>
      <c r="P264">
        <v>0.25</v>
      </c>
      <c r="Q264">
        <v>6.64</v>
      </c>
      <c r="R264">
        <v>7.0000000000000007E-2</v>
      </c>
      <c r="S264">
        <v>2.1800000000000002</v>
      </c>
      <c r="T264">
        <v>7.0000000000000007E-2</v>
      </c>
      <c r="U264">
        <v>0.31</v>
      </c>
      <c r="V264">
        <v>0.01</v>
      </c>
      <c r="W264">
        <v>0.69</v>
      </c>
      <c r="X264">
        <v>0.05</v>
      </c>
      <c r="Y264">
        <v>2.58</v>
      </c>
      <c r="Z264">
        <v>0.05</v>
      </c>
      <c r="AA264">
        <v>0.41</v>
      </c>
      <c r="AB264">
        <v>0.01</v>
      </c>
      <c r="AW264">
        <v>690</v>
      </c>
      <c r="AX264">
        <v>35</v>
      </c>
      <c r="AY264">
        <v>179</v>
      </c>
      <c r="AZ264">
        <v>10</v>
      </c>
      <c r="BA264">
        <v>30</v>
      </c>
      <c r="BB264">
        <v>5</v>
      </c>
    </row>
    <row r="265" spans="1:54" x14ac:dyDescent="0.25">
      <c r="A265">
        <v>1638</v>
      </c>
      <c r="B265" t="s">
        <v>945</v>
      </c>
      <c r="C265">
        <v>35.78</v>
      </c>
      <c r="D265">
        <v>0.43</v>
      </c>
      <c r="E265">
        <v>0.84</v>
      </c>
      <c r="F265">
        <v>0.03</v>
      </c>
      <c r="G265">
        <v>6.65</v>
      </c>
      <c r="H265">
        <v>0.19</v>
      </c>
      <c r="I265">
        <v>0.28000000000000003</v>
      </c>
      <c r="J265">
        <v>0.01</v>
      </c>
      <c r="K265">
        <v>15.92</v>
      </c>
      <c r="L265">
        <v>0.2</v>
      </c>
      <c r="M265">
        <v>0.28999999999999998</v>
      </c>
      <c r="N265">
        <v>0.01</v>
      </c>
      <c r="O265">
        <v>5.55</v>
      </c>
      <c r="P265">
        <v>0.17</v>
      </c>
      <c r="Q265">
        <v>11.27</v>
      </c>
      <c r="R265">
        <v>0.13</v>
      </c>
      <c r="S265">
        <v>2.2400000000000002</v>
      </c>
      <c r="T265">
        <v>0.14000000000000001</v>
      </c>
      <c r="U265">
        <v>0.53</v>
      </c>
      <c r="V265">
        <v>0.02</v>
      </c>
      <c r="W265">
        <v>1.98</v>
      </c>
      <c r="X265">
        <v>0.12</v>
      </c>
      <c r="Y265">
        <v>17.02</v>
      </c>
      <c r="Z265">
        <v>0.2</v>
      </c>
      <c r="AA265">
        <v>1.39</v>
      </c>
      <c r="AB265">
        <v>0.03</v>
      </c>
      <c r="AW265">
        <v>443</v>
      </c>
      <c r="AX265">
        <v>24</v>
      </c>
      <c r="AY265">
        <v>998</v>
      </c>
      <c r="AZ265">
        <v>30</v>
      </c>
      <c r="BA265">
        <v>557</v>
      </c>
      <c r="BB265">
        <v>20</v>
      </c>
    </row>
    <row r="266" spans="1:54" x14ac:dyDescent="0.25">
      <c r="A266">
        <v>1638</v>
      </c>
      <c r="B266" t="s">
        <v>946</v>
      </c>
      <c r="C266">
        <v>44.8</v>
      </c>
      <c r="D266">
        <v>0.54</v>
      </c>
      <c r="E266">
        <v>0.88</v>
      </c>
      <c r="F266">
        <v>0.03</v>
      </c>
      <c r="G266">
        <v>9.57</v>
      </c>
      <c r="H266">
        <v>0.28999999999999998</v>
      </c>
      <c r="I266">
        <v>0.49</v>
      </c>
      <c r="J266">
        <v>0.01</v>
      </c>
      <c r="K266">
        <v>19.68</v>
      </c>
      <c r="L266">
        <v>0.26</v>
      </c>
      <c r="M266">
        <v>0.42</v>
      </c>
      <c r="N266">
        <v>0.01</v>
      </c>
      <c r="O266">
        <v>9.42</v>
      </c>
      <c r="P266">
        <v>0.25</v>
      </c>
      <c r="Q266">
        <v>7.33</v>
      </c>
      <c r="R266">
        <v>0.08</v>
      </c>
      <c r="S266">
        <v>2.65</v>
      </c>
      <c r="T266">
        <v>0.14000000000000001</v>
      </c>
      <c r="U266">
        <v>0.43</v>
      </c>
      <c r="V266">
        <v>0.02</v>
      </c>
      <c r="W266">
        <v>0.76</v>
      </c>
      <c r="X266">
        <v>0.05</v>
      </c>
      <c r="Y266">
        <v>2.97</v>
      </c>
      <c r="Z266">
        <v>0.05</v>
      </c>
      <c r="AA266">
        <v>0.48</v>
      </c>
      <c r="AB266">
        <v>0.01</v>
      </c>
      <c r="AW266">
        <v>461</v>
      </c>
      <c r="AX266">
        <v>24</v>
      </c>
      <c r="AY266">
        <v>207</v>
      </c>
      <c r="AZ266">
        <v>10</v>
      </c>
      <c r="BA266">
        <v>23</v>
      </c>
      <c r="BB266">
        <v>5</v>
      </c>
    </row>
    <row r="267" spans="1:54" x14ac:dyDescent="0.25">
      <c r="A267">
        <v>1640</v>
      </c>
      <c r="B267" t="s">
        <v>947</v>
      </c>
      <c r="C267">
        <v>51.09</v>
      </c>
      <c r="D267">
        <v>0.54</v>
      </c>
      <c r="E267">
        <v>1.1200000000000001</v>
      </c>
      <c r="F267">
        <v>0.05</v>
      </c>
      <c r="G267">
        <v>9.39</v>
      </c>
      <c r="H267">
        <v>0.19</v>
      </c>
      <c r="I267">
        <v>0.32</v>
      </c>
      <c r="J267">
        <v>0.01</v>
      </c>
      <c r="K267">
        <v>19.16</v>
      </c>
      <c r="L267">
        <v>0.2</v>
      </c>
      <c r="M267">
        <v>0.16</v>
      </c>
      <c r="N267">
        <v>0.01</v>
      </c>
      <c r="O267">
        <v>6.4</v>
      </c>
      <c r="P267">
        <v>0.17</v>
      </c>
      <c r="Q267">
        <v>2.76</v>
      </c>
      <c r="R267">
        <v>0.04</v>
      </c>
      <c r="S267">
        <v>2.41</v>
      </c>
      <c r="T267">
        <v>0.14000000000000001</v>
      </c>
      <c r="U267">
        <v>0.8</v>
      </c>
      <c r="V267">
        <v>0.02</v>
      </c>
      <c r="W267">
        <v>0.71</v>
      </c>
      <c r="X267">
        <v>0.05</v>
      </c>
      <c r="Y267">
        <v>4.28</v>
      </c>
      <c r="Z267">
        <v>0.1</v>
      </c>
      <c r="AA267">
        <v>1.08</v>
      </c>
      <c r="AB267">
        <v>0.03</v>
      </c>
      <c r="AW267">
        <v>839</v>
      </c>
      <c r="AX267">
        <v>44</v>
      </c>
      <c r="AY267">
        <v>1397</v>
      </c>
      <c r="AZ267">
        <v>44</v>
      </c>
      <c r="BA267">
        <v>212</v>
      </c>
      <c r="BB267">
        <v>10</v>
      </c>
    </row>
    <row r="268" spans="1:54" x14ac:dyDescent="0.25">
      <c r="A268">
        <v>1644</v>
      </c>
      <c r="B268" t="s">
        <v>948</v>
      </c>
      <c r="C268">
        <v>48.75</v>
      </c>
      <c r="D268">
        <v>0.54</v>
      </c>
      <c r="E268">
        <v>1.05</v>
      </c>
      <c r="F268">
        <v>0.03</v>
      </c>
      <c r="G268">
        <v>8.6199999999999992</v>
      </c>
      <c r="H268">
        <v>0.19</v>
      </c>
      <c r="I268">
        <v>0.33</v>
      </c>
      <c r="J268">
        <v>0.01</v>
      </c>
      <c r="K268">
        <v>21.2</v>
      </c>
      <c r="L268">
        <v>0.26</v>
      </c>
      <c r="M268">
        <v>0.18</v>
      </c>
      <c r="N268">
        <v>0.01</v>
      </c>
      <c r="O268">
        <v>6.45</v>
      </c>
      <c r="P268">
        <v>0.17</v>
      </c>
      <c r="Q268">
        <v>2.92</v>
      </c>
      <c r="R268">
        <v>0.04</v>
      </c>
      <c r="S268">
        <v>2.39</v>
      </c>
      <c r="T268">
        <v>0.14000000000000001</v>
      </c>
      <c r="U268">
        <v>0.83</v>
      </c>
      <c r="V268">
        <v>0.04</v>
      </c>
      <c r="W268">
        <v>0.97</v>
      </c>
      <c r="X268">
        <v>7.0000000000000007E-2</v>
      </c>
      <c r="Y268">
        <v>4.49</v>
      </c>
      <c r="Z268">
        <v>0.08</v>
      </c>
      <c r="AA268">
        <v>1.46</v>
      </c>
      <c r="AB268">
        <v>0.02</v>
      </c>
      <c r="AW268">
        <v>908</v>
      </c>
      <c r="AX268">
        <v>49</v>
      </c>
      <c r="AY268">
        <v>1394</v>
      </c>
      <c r="AZ268">
        <v>44</v>
      </c>
      <c r="BA268">
        <v>507</v>
      </c>
      <c r="BB268">
        <v>20</v>
      </c>
    </row>
    <row r="269" spans="1:54" x14ac:dyDescent="0.25">
      <c r="A269">
        <v>1647</v>
      </c>
      <c r="B269" t="s">
        <v>949</v>
      </c>
      <c r="C269">
        <v>26.87</v>
      </c>
      <c r="D269">
        <v>0.32</v>
      </c>
      <c r="E269">
        <v>0.59</v>
      </c>
      <c r="F269">
        <v>0.03</v>
      </c>
      <c r="G269">
        <v>5.13</v>
      </c>
      <c r="H269">
        <v>0.19</v>
      </c>
      <c r="I269">
        <v>0.19</v>
      </c>
      <c r="J269">
        <v>0.01</v>
      </c>
      <c r="K269">
        <v>14.9</v>
      </c>
      <c r="L269">
        <v>0.2</v>
      </c>
      <c r="M269">
        <v>0.16</v>
      </c>
      <c r="N269">
        <v>0.01</v>
      </c>
      <c r="O269">
        <v>4.22</v>
      </c>
      <c r="P269">
        <v>0.17</v>
      </c>
      <c r="Q269">
        <v>16.36</v>
      </c>
      <c r="R269">
        <v>0.17</v>
      </c>
      <c r="S269">
        <v>2.2200000000000002</v>
      </c>
      <c r="T269">
        <v>7.0000000000000007E-2</v>
      </c>
      <c r="U269">
        <v>0.36</v>
      </c>
      <c r="V269">
        <v>0.01</v>
      </c>
      <c r="W269">
        <v>0.84</v>
      </c>
      <c r="X269">
        <v>0.05</v>
      </c>
      <c r="Y269">
        <v>26.45</v>
      </c>
      <c r="Z269">
        <v>0.28000000000000003</v>
      </c>
      <c r="AA269">
        <v>1.55</v>
      </c>
      <c r="AB269">
        <v>0.02</v>
      </c>
      <c r="AW269">
        <v>379</v>
      </c>
      <c r="AX269">
        <v>20</v>
      </c>
      <c r="AY269">
        <v>623</v>
      </c>
      <c r="AZ269">
        <v>20</v>
      </c>
      <c r="BA269">
        <v>262</v>
      </c>
      <c r="BB269">
        <v>10</v>
      </c>
    </row>
    <row r="270" spans="1:54" x14ac:dyDescent="0.25">
      <c r="A270">
        <v>1650</v>
      </c>
      <c r="B270" t="s">
        <v>950</v>
      </c>
      <c r="C270">
        <v>44.45</v>
      </c>
      <c r="D270">
        <v>0.54</v>
      </c>
      <c r="E270">
        <v>0.91</v>
      </c>
      <c r="F270">
        <v>0.03</v>
      </c>
      <c r="G270">
        <v>9.26</v>
      </c>
      <c r="H270">
        <v>0.19</v>
      </c>
      <c r="I270">
        <v>0.52</v>
      </c>
      <c r="J270">
        <v>0.01</v>
      </c>
      <c r="K270">
        <v>20.21</v>
      </c>
      <c r="L270">
        <v>0.26</v>
      </c>
      <c r="M270">
        <v>0.42</v>
      </c>
      <c r="N270">
        <v>0.01</v>
      </c>
      <c r="O270">
        <v>9.93</v>
      </c>
      <c r="P270">
        <v>0.25</v>
      </c>
      <c r="Q270">
        <v>7.24</v>
      </c>
      <c r="R270">
        <v>0.08</v>
      </c>
      <c r="S270">
        <v>2.5299999999999998</v>
      </c>
      <c r="T270">
        <v>0.14000000000000001</v>
      </c>
      <c r="U270">
        <v>0.4</v>
      </c>
      <c r="V270">
        <v>0.02</v>
      </c>
      <c r="W270">
        <v>0.73</v>
      </c>
      <c r="X270">
        <v>0.05</v>
      </c>
      <c r="Y270">
        <v>2.82</v>
      </c>
      <c r="Z270">
        <v>0.05</v>
      </c>
      <c r="AA270">
        <v>0.45</v>
      </c>
      <c r="AB270">
        <v>0.02</v>
      </c>
      <c r="AW270">
        <v>542</v>
      </c>
      <c r="AX270">
        <v>30</v>
      </c>
      <c r="AY270">
        <v>187</v>
      </c>
      <c r="AZ270">
        <v>10</v>
      </c>
      <c r="BA270">
        <v>23</v>
      </c>
      <c r="BB270">
        <v>5</v>
      </c>
    </row>
    <row r="271" spans="1:54" x14ac:dyDescent="0.25">
      <c r="A271">
        <v>1661</v>
      </c>
      <c r="B271" t="s">
        <v>951</v>
      </c>
      <c r="C271">
        <v>48.85</v>
      </c>
      <c r="D271">
        <v>0.54</v>
      </c>
      <c r="E271">
        <v>1.03</v>
      </c>
      <c r="F271">
        <v>0.03</v>
      </c>
      <c r="G271">
        <v>8.92</v>
      </c>
      <c r="H271">
        <v>0.19</v>
      </c>
      <c r="I271">
        <v>0.3</v>
      </c>
      <c r="J271">
        <v>0.03</v>
      </c>
      <c r="K271">
        <v>21.05</v>
      </c>
      <c r="L271">
        <v>0.26</v>
      </c>
      <c r="M271">
        <v>0.33</v>
      </c>
      <c r="N271">
        <v>0.03</v>
      </c>
      <c r="O271">
        <v>6.34</v>
      </c>
      <c r="P271">
        <v>0.17</v>
      </c>
      <c r="Q271">
        <v>2.82</v>
      </c>
      <c r="R271">
        <v>0.04</v>
      </c>
      <c r="S271">
        <v>2.41</v>
      </c>
      <c r="T271">
        <v>0.14000000000000001</v>
      </c>
      <c r="U271">
        <v>0.78</v>
      </c>
      <c r="V271">
        <v>0.02</v>
      </c>
      <c r="W271">
        <v>1.17</v>
      </c>
      <c r="X271">
        <v>7.0000000000000007E-2</v>
      </c>
      <c r="Y271">
        <v>4.68</v>
      </c>
      <c r="Z271">
        <v>0.1</v>
      </c>
      <c r="AA271">
        <v>1.01</v>
      </c>
      <c r="AB271">
        <v>0.03</v>
      </c>
      <c r="AW271">
        <v>954</v>
      </c>
      <c r="AX271">
        <v>49</v>
      </c>
      <c r="AY271">
        <v>1332</v>
      </c>
      <c r="AZ271">
        <v>40</v>
      </c>
      <c r="BA271">
        <v>59</v>
      </c>
      <c r="BB271">
        <v>5</v>
      </c>
    </row>
    <row r="272" spans="1:54" x14ac:dyDescent="0.25">
      <c r="A272">
        <v>1661</v>
      </c>
      <c r="B272" t="s">
        <v>952</v>
      </c>
      <c r="C272">
        <v>50.64</v>
      </c>
      <c r="D272">
        <v>0.54</v>
      </c>
      <c r="E272">
        <v>1.1399999999999999</v>
      </c>
      <c r="F272">
        <v>0.05</v>
      </c>
      <c r="G272">
        <v>9.1300000000000008</v>
      </c>
      <c r="H272">
        <v>0.19</v>
      </c>
      <c r="I272">
        <v>0.37</v>
      </c>
      <c r="J272">
        <v>0.03</v>
      </c>
      <c r="K272">
        <v>20.45</v>
      </c>
      <c r="L272">
        <v>0.26</v>
      </c>
      <c r="M272">
        <v>0.24</v>
      </c>
      <c r="N272">
        <v>0.01</v>
      </c>
      <c r="O272">
        <v>6.02</v>
      </c>
      <c r="P272">
        <v>0.17</v>
      </c>
      <c r="Q272">
        <v>2.85</v>
      </c>
      <c r="R272">
        <v>0.04</v>
      </c>
      <c r="S272">
        <v>2.4900000000000002</v>
      </c>
      <c r="T272">
        <v>0.14000000000000001</v>
      </c>
      <c r="U272">
        <v>0.85</v>
      </c>
      <c r="V272">
        <v>0.04</v>
      </c>
      <c r="W272">
        <v>1.06</v>
      </c>
      <c r="X272">
        <v>7.0000000000000007E-2</v>
      </c>
      <c r="Y272">
        <v>3.22</v>
      </c>
      <c r="Z272">
        <v>0.1</v>
      </c>
      <c r="AA272">
        <v>1.22</v>
      </c>
      <c r="AB272">
        <v>0.04</v>
      </c>
      <c r="AW272">
        <v>1040</v>
      </c>
      <c r="AX272">
        <v>54</v>
      </c>
      <c r="AY272">
        <v>1369</v>
      </c>
      <c r="AZ272">
        <v>44</v>
      </c>
      <c r="BA272">
        <v>80</v>
      </c>
      <c r="BB272">
        <v>10</v>
      </c>
    </row>
    <row r="273" spans="1:54" x14ac:dyDescent="0.25">
      <c r="A273">
        <v>1661</v>
      </c>
      <c r="B273" t="s">
        <v>953</v>
      </c>
      <c r="C273">
        <v>39.43</v>
      </c>
      <c r="D273">
        <v>0.43</v>
      </c>
      <c r="E273">
        <v>0.87</v>
      </c>
      <c r="F273">
        <v>0.03</v>
      </c>
      <c r="G273">
        <v>7.29</v>
      </c>
      <c r="H273">
        <v>0.19</v>
      </c>
      <c r="I273">
        <v>0.21</v>
      </c>
      <c r="J273">
        <v>0.01</v>
      </c>
      <c r="K273">
        <v>33.11</v>
      </c>
      <c r="L273">
        <v>0.39</v>
      </c>
      <c r="M273">
        <v>0.28000000000000003</v>
      </c>
      <c r="N273">
        <v>0.03</v>
      </c>
      <c r="O273">
        <v>5.97</v>
      </c>
      <c r="P273">
        <v>0.17</v>
      </c>
      <c r="Q273">
        <v>2.79</v>
      </c>
      <c r="R273">
        <v>0.04</v>
      </c>
      <c r="S273">
        <v>2.0499999999999998</v>
      </c>
      <c r="T273">
        <v>0.14000000000000001</v>
      </c>
      <c r="U273">
        <v>0.54</v>
      </c>
      <c r="V273">
        <v>0.02</v>
      </c>
      <c r="W273">
        <v>1</v>
      </c>
      <c r="X273">
        <v>7.0000000000000007E-2</v>
      </c>
      <c r="Y273">
        <v>5.23</v>
      </c>
      <c r="Z273">
        <v>0.1</v>
      </c>
      <c r="AA273">
        <v>0.94</v>
      </c>
      <c r="AB273">
        <v>0.03</v>
      </c>
      <c r="AW273">
        <v>891</v>
      </c>
      <c r="AX273">
        <v>44</v>
      </c>
      <c r="AY273">
        <v>1061</v>
      </c>
      <c r="AZ273">
        <v>35</v>
      </c>
      <c r="BA273">
        <v>81</v>
      </c>
      <c r="BB273">
        <v>5</v>
      </c>
    </row>
    <row r="274" spans="1:54" x14ac:dyDescent="0.25">
      <c r="A274">
        <v>1668</v>
      </c>
      <c r="B274" t="s">
        <v>954</v>
      </c>
      <c r="C274">
        <v>44.37</v>
      </c>
      <c r="D274">
        <v>0.54</v>
      </c>
      <c r="E274">
        <v>0.91</v>
      </c>
      <c r="F274">
        <v>0.03</v>
      </c>
      <c r="G274">
        <v>7.89</v>
      </c>
      <c r="H274">
        <v>0.19</v>
      </c>
      <c r="I274">
        <v>0.28000000000000003</v>
      </c>
      <c r="J274">
        <v>0.03</v>
      </c>
      <c r="K274">
        <v>24.14</v>
      </c>
      <c r="L274">
        <v>0.26</v>
      </c>
      <c r="M274">
        <v>0.49</v>
      </c>
      <c r="N274">
        <v>0.03</v>
      </c>
      <c r="O274">
        <v>7.93</v>
      </c>
      <c r="P274">
        <v>0.17</v>
      </c>
      <c r="Q274">
        <v>2.4</v>
      </c>
      <c r="R274">
        <v>0.04</v>
      </c>
      <c r="S274">
        <v>2.31</v>
      </c>
      <c r="T274">
        <v>0.14000000000000001</v>
      </c>
      <c r="U274">
        <v>0.68</v>
      </c>
      <c r="V274">
        <v>0.02</v>
      </c>
      <c r="W274">
        <v>1.8</v>
      </c>
      <c r="X274">
        <v>0.09</v>
      </c>
      <c r="Y274">
        <v>4.67</v>
      </c>
      <c r="Z274">
        <v>0.1</v>
      </c>
      <c r="AA274">
        <v>1.53</v>
      </c>
      <c r="AB274">
        <v>0.04</v>
      </c>
      <c r="AW274">
        <v>829</v>
      </c>
      <c r="AX274">
        <v>44</v>
      </c>
      <c r="AY274">
        <v>2481</v>
      </c>
      <c r="AZ274">
        <v>74</v>
      </c>
      <c r="BA274">
        <v>838</v>
      </c>
      <c r="BB274">
        <v>30</v>
      </c>
    </row>
    <row r="275" spans="1:54" x14ac:dyDescent="0.25">
      <c r="A275">
        <v>1668</v>
      </c>
      <c r="B275" t="s">
        <v>955</v>
      </c>
      <c r="C275">
        <v>33.07</v>
      </c>
      <c r="D275">
        <v>0.43</v>
      </c>
      <c r="E275">
        <v>0.82</v>
      </c>
      <c r="F275">
        <v>0.03</v>
      </c>
      <c r="G275">
        <v>6.79</v>
      </c>
      <c r="H275">
        <v>0.19</v>
      </c>
      <c r="I275">
        <v>0.26</v>
      </c>
      <c r="J275">
        <v>0.03</v>
      </c>
      <c r="K275">
        <v>38.14</v>
      </c>
      <c r="L275">
        <v>0.39</v>
      </c>
      <c r="M275">
        <v>0.39</v>
      </c>
      <c r="N275">
        <v>0.03</v>
      </c>
      <c r="O275">
        <v>6.95</v>
      </c>
      <c r="P275">
        <v>0.17</v>
      </c>
      <c r="Q275">
        <v>3.13</v>
      </c>
      <c r="R275">
        <v>0.04</v>
      </c>
      <c r="S275">
        <v>2.63</v>
      </c>
      <c r="T275">
        <v>0.14000000000000001</v>
      </c>
      <c r="U275">
        <v>0.47</v>
      </c>
      <c r="V275">
        <v>0.02</v>
      </c>
      <c r="W275">
        <v>1.1000000000000001</v>
      </c>
      <c r="X275">
        <v>7.0000000000000007E-2</v>
      </c>
      <c r="Y275">
        <v>4.1500000000000004</v>
      </c>
      <c r="Z275">
        <v>0.1</v>
      </c>
      <c r="AA275">
        <v>1.8</v>
      </c>
      <c r="AB275">
        <v>0.04</v>
      </c>
      <c r="AW275">
        <v>549</v>
      </c>
      <c r="AX275">
        <v>35</v>
      </c>
      <c r="AY275">
        <v>1391</v>
      </c>
      <c r="AZ275">
        <v>44</v>
      </c>
      <c r="BA275">
        <v>478</v>
      </c>
      <c r="BB275">
        <v>15</v>
      </c>
    </row>
    <row r="276" spans="1:54" x14ac:dyDescent="0.25">
      <c r="A276">
        <v>1668</v>
      </c>
      <c r="B276" t="s">
        <v>956</v>
      </c>
      <c r="C276">
        <v>49.03</v>
      </c>
      <c r="D276">
        <v>0.54</v>
      </c>
      <c r="E276">
        <v>1.1100000000000001</v>
      </c>
      <c r="F276">
        <v>0.03</v>
      </c>
      <c r="G276">
        <v>8.9499999999999993</v>
      </c>
      <c r="H276">
        <v>0.19</v>
      </c>
      <c r="I276">
        <v>0.32</v>
      </c>
      <c r="J276">
        <v>0.01</v>
      </c>
      <c r="K276">
        <v>20.399999999999999</v>
      </c>
      <c r="L276">
        <v>0.26</v>
      </c>
      <c r="M276">
        <v>0.25</v>
      </c>
      <c r="N276">
        <v>0.01</v>
      </c>
      <c r="O276">
        <v>5.94</v>
      </c>
      <c r="P276">
        <v>0.17</v>
      </c>
      <c r="Q276">
        <v>2.81</v>
      </c>
      <c r="R276">
        <v>0.04</v>
      </c>
      <c r="S276">
        <v>2.59</v>
      </c>
      <c r="T276">
        <v>0.14000000000000001</v>
      </c>
      <c r="U276">
        <v>0.8</v>
      </c>
      <c r="V276">
        <v>0.02</v>
      </c>
      <c r="W276">
        <v>0.98</v>
      </c>
      <c r="X276">
        <v>7.0000000000000007E-2</v>
      </c>
      <c r="Y276">
        <v>5.17</v>
      </c>
      <c r="Z276">
        <v>0.08</v>
      </c>
      <c r="AA276">
        <v>1.3</v>
      </c>
      <c r="AB276">
        <v>0.02</v>
      </c>
      <c r="AW276">
        <v>1005</v>
      </c>
      <c r="AX276">
        <v>54</v>
      </c>
      <c r="AY276">
        <v>1472</v>
      </c>
      <c r="AZ276">
        <v>44</v>
      </c>
      <c r="BA276">
        <v>168</v>
      </c>
      <c r="BB276">
        <v>10</v>
      </c>
    </row>
    <row r="277" spans="1:54" x14ac:dyDescent="0.25">
      <c r="A277">
        <v>1681</v>
      </c>
      <c r="B277" t="s">
        <v>957</v>
      </c>
      <c r="C277">
        <v>43.61</v>
      </c>
      <c r="D277">
        <v>0.54</v>
      </c>
      <c r="E277">
        <v>1.05</v>
      </c>
      <c r="F277">
        <v>0.03</v>
      </c>
      <c r="G277">
        <v>7.91</v>
      </c>
      <c r="H277">
        <v>0.19</v>
      </c>
      <c r="I277">
        <v>0.27</v>
      </c>
      <c r="J277">
        <v>0.01</v>
      </c>
      <c r="K277">
        <v>19.43</v>
      </c>
      <c r="L277">
        <v>0.26</v>
      </c>
      <c r="M277">
        <v>0.23</v>
      </c>
      <c r="N277">
        <v>0.01</v>
      </c>
      <c r="O277">
        <v>4.8899999999999997</v>
      </c>
      <c r="P277">
        <v>0.17</v>
      </c>
      <c r="Q277">
        <v>6.47</v>
      </c>
      <c r="R277">
        <v>7.0000000000000007E-2</v>
      </c>
      <c r="S277">
        <v>2.09</v>
      </c>
      <c r="T277">
        <v>7.0000000000000007E-2</v>
      </c>
      <c r="U277">
        <v>0.69</v>
      </c>
      <c r="V277">
        <v>0.02</v>
      </c>
      <c r="W277">
        <v>0.96</v>
      </c>
      <c r="X277">
        <v>7.0000000000000007E-2</v>
      </c>
      <c r="Y277">
        <v>11.09</v>
      </c>
      <c r="Z277">
        <v>0.12</v>
      </c>
      <c r="AA277">
        <v>0.99</v>
      </c>
      <c r="AB277">
        <v>0.02</v>
      </c>
      <c r="AW277">
        <v>1174</v>
      </c>
      <c r="AX277">
        <v>60</v>
      </c>
      <c r="AY277">
        <v>1212</v>
      </c>
      <c r="AZ277">
        <v>40</v>
      </c>
      <c r="BA277">
        <v>266</v>
      </c>
      <c r="BB277">
        <v>10</v>
      </c>
    </row>
    <row r="278" spans="1:54" x14ac:dyDescent="0.25">
      <c r="A278">
        <v>1687</v>
      </c>
      <c r="B278" t="s">
        <v>958</v>
      </c>
      <c r="C278">
        <v>42.98</v>
      </c>
      <c r="D278">
        <v>0.54</v>
      </c>
      <c r="E278">
        <v>1.04</v>
      </c>
      <c r="F278">
        <v>0.03</v>
      </c>
      <c r="G278">
        <v>8.6199999999999992</v>
      </c>
      <c r="H278">
        <v>0.19</v>
      </c>
      <c r="I278">
        <v>0.33</v>
      </c>
      <c r="J278">
        <v>0.03</v>
      </c>
      <c r="K278">
        <v>20.32</v>
      </c>
      <c r="L278">
        <v>0.26</v>
      </c>
      <c r="M278">
        <v>0.37</v>
      </c>
      <c r="N278">
        <v>0.03</v>
      </c>
      <c r="O278">
        <v>8.8000000000000007</v>
      </c>
      <c r="P278">
        <v>0.25</v>
      </c>
      <c r="Q278">
        <v>7.18</v>
      </c>
      <c r="R278">
        <v>0.08</v>
      </c>
      <c r="S278">
        <v>2.5299999999999998</v>
      </c>
      <c r="T278">
        <v>0.14000000000000001</v>
      </c>
      <c r="U278">
        <v>0.49</v>
      </c>
      <c r="V278">
        <v>0.02</v>
      </c>
      <c r="W278">
        <v>0.95</v>
      </c>
      <c r="X278">
        <v>7.0000000000000007E-2</v>
      </c>
      <c r="Y278">
        <v>5.52</v>
      </c>
      <c r="Z278">
        <v>0.1</v>
      </c>
      <c r="AA278">
        <v>0.69</v>
      </c>
      <c r="AB278">
        <v>0.03</v>
      </c>
      <c r="AW278">
        <v>979</v>
      </c>
      <c r="AX278">
        <v>49</v>
      </c>
      <c r="AY278">
        <v>221</v>
      </c>
      <c r="AZ278">
        <v>15</v>
      </c>
      <c r="BA278">
        <v>51</v>
      </c>
      <c r="BB278">
        <v>5</v>
      </c>
    </row>
    <row r="279" spans="1:54" x14ac:dyDescent="0.25">
      <c r="A279">
        <v>1687</v>
      </c>
      <c r="B279" t="s">
        <v>959</v>
      </c>
      <c r="C279">
        <v>43.29</v>
      </c>
      <c r="D279">
        <v>0.54</v>
      </c>
      <c r="E279">
        <v>1.01</v>
      </c>
      <c r="F279">
        <v>0.03</v>
      </c>
      <c r="G279">
        <v>9.5</v>
      </c>
      <c r="H279">
        <v>0.28999999999999998</v>
      </c>
      <c r="I279">
        <v>0.36</v>
      </c>
      <c r="J279">
        <v>0.01</v>
      </c>
      <c r="K279">
        <v>18.91</v>
      </c>
      <c r="L279">
        <v>0.2</v>
      </c>
      <c r="M279">
        <v>0.39</v>
      </c>
      <c r="N279">
        <v>0.01</v>
      </c>
      <c r="O279">
        <v>8.65</v>
      </c>
      <c r="P279">
        <v>0.25</v>
      </c>
      <c r="Q279">
        <v>7.49</v>
      </c>
      <c r="R279">
        <v>0.08</v>
      </c>
      <c r="S279">
        <v>2.73</v>
      </c>
      <c r="T279">
        <v>0.14000000000000001</v>
      </c>
      <c r="U279">
        <v>0.55000000000000004</v>
      </c>
      <c r="V279">
        <v>0.02</v>
      </c>
      <c r="W279">
        <v>1</v>
      </c>
      <c r="X279">
        <v>7.0000000000000007E-2</v>
      </c>
      <c r="Y279">
        <v>5.24</v>
      </c>
      <c r="Z279">
        <v>0.08</v>
      </c>
      <c r="AA279">
        <v>0.72</v>
      </c>
      <c r="AB279">
        <v>0.02</v>
      </c>
      <c r="AW279">
        <v>648</v>
      </c>
      <c r="AX279">
        <v>35</v>
      </c>
      <c r="AY279">
        <v>255</v>
      </c>
      <c r="AZ279">
        <v>10</v>
      </c>
      <c r="BA279">
        <v>54</v>
      </c>
      <c r="BB279">
        <v>5</v>
      </c>
    </row>
    <row r="280" spans="1:54" x14ac:dyDescent="0.25">
      <c r="A280">
        <v>1688</v>
      </c>
      <c r="B280" t="s">
        <v>960</v>
      </c>
      <c r="C280">
        <v>45.33</v>
      </c>
      <c r="D280">
        <v>0.54</v>
      </c>
      <c r="E280">
        <v>0.94</v>
      </c>
      <c r="F280">
        <v>0.03</v>
      </c>
      <c r="G280">
        <v>9.91</v>
      </c>
      <c r="H280">
        <v>0.28999999999999998</v>
      </c>
      <c r="I280">
        <v>0.3</v>
      </c>
      <c r="J280">
        <v>0.01</v>
      </c>
      <c r="K280">
        <v>17.53</v>
      </c>
      <c r="L280">
        <v>0.2</v>
      </c>
      <c r="M280">
        <v>0.36</v>
      </c>
      <c r="N280">
        <v>0.01</v>
      </c>
      <c r="O280">
        <v>8.16</v>
      </c>
      <c r="P280">
        <v>0.17</v>
      </c>
      <c r="Q280">
        <v>7.22</v>
      </c>
      <c r="R280">
        <v>0.08</v>
      </c>
      <c r="S280">
        <v>2.84</v>
      </c>
      <c r="T280">
        <v>0.14000000000000001</v>
      </c>
      <c r="U280">
        <v>0.56000000000000005</v>
      </c>
      <c r="V280">
        <v>0.02</v>
      </c>
      <c r="W280">
        <v>0.99</v>
      </c>
      <c r="X280">
        <v>7.0000000000000007E-2</v>
      </c>
      <c r="Y280">
        <v>4.9800000000000004</v>
      </c>
      <c r="Z280">
        <v>0.08</v>
      </c>
      <c r="AA280">
        <v>0.72</v>
      </c>
      <c r="AB280">
        <v>0.02</v>
      </c>
      <c r="AW280">
        <v>617</v>
      </c>
      <c r="AX280">
        <v>35</v>
      </c>
      <c r="AY280">
        <v>229</v>
      </c>
      <c r="AZ280">
        <v>10</v>
      </c>
      <c r="BA280">
        <v>71</v>
      </c>
      <c r="BB280">
        <v>5</v>
      </c>
    </row>
    <row r="281" spans="1:54" x14ac:dyDescent="0.25">
      <c r="A281">
        <v>1688</v>
      </c>
      <c r="B281" t="s">
        <v>961</v>
      </c>
      <c r="C281">
        <v>45.16</v>
      </c>
      <c r="D281">
        <v>0.54</v>
      </c>
      <c r="E281">
        <v>0.98</v>
      </c>
      <c r="F281">
        <v>0.03</v>
      </c>
      <c r="G281">
        <v>9.93</v>
      </c>
      <c r="H281">
        <v>0.28999999999999998</v>
      </c>
      <c r="I281">
        <v>0.52</v>
      </c>
      <c r="J281">
        <v>0.01</v>
      </c>
      <c r="K281">
        <v>18.63</v>
      </c>
      <c r="L281">
        <v>0.2</v>
      </c>
      <c r="M281">
        <v>0.41</v>
      </c>
      <c r="N281">
        <v>0.01</v>
      </c>
      <c r="O281">
        <v>8.3000000000000007</v>
      </c>
      <c r="P281">
        <v>0.25</v>
      </c>
      <c r="Q281">
        <v>7.59</v>
      </c>
      <c r="R281">
        <v>0.08</v>
      </c>
      <c r="S281">
        <v>2.75</v>
      </c>
      <c r="T281">
        <v>0.14000000000000001</v>
      </c>
      <c r="U281">
        <v>0.48</v>
      </c>
      <c r="V281">
        <v>0.02</v>
      </c>
      <c r="W281">
        <v>0.81</v>
      </c>
      <c r="X281">
        <v>0.05</v>
      </c>
      <c r="Y281">
        <v>3.75</v>
      </c>
      <c r="Z281">
        <v>0.08</v>
      </c>
      <c r="AA281">
        <v>0.56999999999999995</v>
      </c>
      <c r="AB281">
        <v>0.02</v>
      </c>
      <c r="AW281">
        <v>390</v>
      </c>
      <c r="AX281">
        <v>20</v>
      </c>
      <c r="AY281">
        <v>233</v>
      </c>
      <c r="AZ281">
        <v>10</v>
      </c>
      <c r="BA281">
        <v>31</v>
      </c>
      <c r="BB281">
        <v>5</v>
      </c>
    </row>
    <row r="282" spans="1:54" x14ac:dyDescent="0.25">
      <c r="A282">
        <v>1692</v>
      </c>
      <c r="B282" t="s">
        <v>962</v>
      </c>
      <c r="C282">
        <v>42.37</v>
      </c>
      <c r="D282">
        <v>0.43</v>
      </c>
      <c r="E282">
        <v>1.01</v>
      </c>
      <c r="F282">
        <v>0.03</v>
      </c>
      <c r="G282">
        <v>8.31</v>
      </c>
      <c r="H282">
        <v>0.19</v>
      </c>
      <c r="I282">
        <v>0.28000000000000003</v>
      </c>
      <c r="J282">
        <v>0.01</v>
      </c>
      <c r="K282">
        <v>26.8</v>
      </c>
      <c r="L282">
        <v>0.33</v>
      </c>
      <c r="M282">
        <v>0.35</v>
      </c>
      <c r="N282">
        <v>0.01</v>
      </c>
      <c r="O282">
        <v>6.33</v>
      </c>
      <c r="P282">
        <v>0.17</v>
      </c>
      <c r="Q282">
        <v>3.12</v>
      </c>
      <c r="R282">
        <v>0.04</v>
      </c>
      <c r="S282">
        <v>2.36</v>
      </c>
      <c r="T282">
        <v>0.14000000000000001</v>
      </c>
      <c r="U282">
        <v>0.66</v>
      </c>
      <c r="V282">
        <v>0.02</v>
      </c>
      <c r="W282">
        <v>1.25</v>
      </c>
      <c r="X282">
        <v>7.0000000000000007E-2</v>
      </c>
      <c r="Y282">
        <v>4.55</v>
      </c>
      <c r="Z282">
        <v>0.08</v>
      </c>
      <c r="AA282">
        <v>2.11</v>
      </c>
      <c r="AB282">
        <v>0.03</v>
      </c>
      <c r="AW282">
        <v>1448</v>
      </c>
      <c r="AX282">
        <v>74</v>
      </c>
      <c r="AY282">
        <v>2454</v>
      </c>
      <c r="AZ282">
        <v>74</v>
      </c>
      <c r="BA282">
        <v>403</v>
      </c>
      <c r="BB282">
        <v>15</v>
      </c>
    </row>
    <row r="283" spans="1:54" x14ac:dyDescent="0.25">
      <c r="A283">
        <v>1692</v>
      </c>
      <c r="B283" t="s">
        <v>963</v>
      </c>
      <c r="C283">
        <v>41.17</v>
      </c>
      <c r="D283">
        <v>0.43</v>
      </c>
      <c r="E283">
        <v>0.94</v>
      </c>
      <c r="F283">
        <v>0.03</v>
      </c>
      <c r="G283">
        <v>8.2200000000000006</v>
      </c>
      <c r="H283">
        <v>0.19</v>
      </c>
      <c r="I283">
        <v>0.25</v>
      </c>
      <c r="J283">
        <v>0.01</v>
      </c>
      <c r="K283">
        <v>25.17</v>
      </c>
      <c r="L283">
        <v>0.26</v>
      </c>
      <c r="M283">
        <v>0.77</v>
      </c>
      <c r="N283">
        <v>0.03</v>
      </c>
      <c r="O283">
        <v>7.22</v>
      </c>
      <c r="P283">
        <v>0.17</v>
      </c>
      <c r="Q283">
        <v>3.57</v>
      </c>
      <c r="R283">
        <v>0.04</v>
      </c>
      <c r="S283">
        <v>2.41</v>
      </c>
      <c r="T283">
        <v>0.14000000000000001</v>
      </c>
      <c r="U283">
        <v>0.65</v>
      </c>
      <c r="V283">
        <v>0.02</v>
      </c>
      <c r="W283">
        <v>0.98</v>
      </c>
      <c r="X283">
        <v>7.0000000000000007E-2</v>
      </c>
      <c r="Y283">
        <v>6.12</v>
      </c>
      <c r="Z283">
        <v>0.08</v>
      </c>
      <c r="AA283">
        <v>2.1</v>
      </c>
      <c r="AB283">
        <v>0.03</v>
      </c>
      <c r="AW283">
        <v>627</v>
      </c>
      <c r="AX283">
        <v>35</v>
      </c>
      <c r="AY283">
        <v>2363</v>
      </c>
      <c r="AZ283">
        <v>74</v>
      </c>
      <c r="BA283">
        <v>706</v>
      </c>
      <c r="BB283">
        <v>24</v>
      </c>
    </row>
    <row r="284" spans="1:54" x14ac:dyDescent="0.25">
      <c r="A284">
        <v>1695</v>
      </c>
      <c r="B284" t="s">
        <v>964</v>
      </c>
      <c r="C284">
        <v>42.58</v>
      </c>
      <c r="D284">
        <v>0.43</v>
      </c>
      <c r="E284">
        <v>1.01</v>
      </c>
      <c r="F284">
        <v>0.03</v>
      </c>
      <c r="G284">
        <v>8.3000000000000007</v>
      </c>
      <c r="H284">
        <v>0.19</v>
      </c>
      <c r="I284">
        <v>0.24</v>
      </c>
      <c r="J284">
        <v>0.01</v>
      </c>
      <c r="K284">
        <v>20.58</v>
      </c>
      <c r="L284">
        <v>0.26</v>
      </c>
      <c r="M284">
        <v>0.36</v>
      </c>
      <c r="N284">
        <v>0.01</v>
      </c>
      <c r="O284">
        <v>7.74</v>
      </c>
      <c r="P284">
        <v>0.17</v>
      </c>
      <c r="Q284">
        <v>4.8099999999999996</v>
      </c>
      <c r="R284">
        <v>0.06</v>
      </c>
      <c r="S284">
        <v>2.44</v>
      </c>
      <c r="T284">
        <v>0.14000000000000001</v>
      </c>
      <c r="U284">
        <v>0.64</v>
      </c>
      <c r="V284">
        <v>0.02</v>
      </c>
      <c r="W284">
        <v>1.27</v>
      </c>
      <c r="X284">
        <v>7.0000000000000007E-2</v>
      </c>
      <c r="Y284">
        <v>7.57</v>
      </c>
      <c r="Z284">
        <v>0.1</v>
      </c>
      <c r="AA284">
        <v>2.06</v>
      </c>
      <c r="AB284">
        <v>0.03</v>
      </c>
      <c r="AW284">
        <v>467</v>
      </c>
      <c r="AX284">
        <v>24</v>
      </c>
      <c r="AY284">
        <v>1949</v>
      </c>
      <c r="AZ284">
        <v>60</v>
      </c>
      <c r="BA284">
        <v>847</v>
      </c>
      <c r="BB284">
        <v>30</v>
      </c>
    </row>
    <row r="285" spans="1:54" x14ac:dyDescent="0.25">
      <c r="A285">
        <v>1695</v>
      </c>
      <c r="B285" t="s">
        <v>965</v>
      </c>
      <c r="C285">
        <v>42.69</v>
      </c>
      <c r="D285">
        <v>0.43</v>
      </c>
      <c r="E285">
        <v>1.04</v>
      </c>
      <c r="F285">
        <v>0.03</v>
      </c>
      <c r="G285">
        <v>7.9</v>
      </c>
      <c r="H285">
        <v>0.19</v>
      </c>
      <c r="I285">
        <v>0.27</v>
      </c>
      <c r="J285">
        <v>0.01</v>
      </c>
      <c r="K285">
        <v>23.41</v>
      </c>
      <c r="L285">
        <v>0.26</v>
      </c>
      <c r="M285">
        <v>0.47</v>
      </c>
      <c r="N285">
        <v>0.01</v>
      </c>
      <c r="O285">
        <v>7.44</v>
      </c>
      <c r="P285">
        <v>0.17</v>
      </c>
      <c r="Q285">
        <v>3.81</v>
      </c>
      <c r="R285">
        <v>0.04</v>
      </c>
      <c r="S285">
        <v>2.31</v>
      </c>
      <c r="T285">
        <v>0.14000000000000001</v>
      </c>
      <c r="U285">
        <v>0.67</v>
      </c>
      <c r="V285">
        <v>0.02</v>
      </c>
      <c r="W285">
        <v>1.08</v>
      </c>
      <c r="X285">
        <v>7.0000000000000007E-2</v>
      </c>
      <c r="Y285">
        <v>6.19</v>
      </c>
      <c r="Z285">
        <v>0.08</v>
      </c>
      <c r="AA285">
        <v>2.27</v>
      </c>
      <c r="AB285">
        <v>0.03</v>
      </c>
      <c r="AW285">
        <v>494</v>
      </c>
      <c r="AX285">
        <v>24</v>
      </c>
      <c r="AY285">
        <v>2035</v>
      </c>
      <c r="AZ285">
        <v>65</v>
      </c>
      <c r="BA285">
        <v>1225</v>
      </c>
      <c r="BB285">
        <v>40</v>
      </c>
    </row>
    <row r="286" spans="1:54" x14ac:dyDescent="0.25">
      <c r="A286">
        <v>1702</v>
      </c>
      <c r="B286" t="s">
        <v>966</v>
      </c>
      <c r="C286">
        <v>19.37</v>
      </c>
      <c r="D286">
        <v>0.32</v>
      </c>
      <c r="E286">
        <v>0.25</v>
      </c>
      <c r="F286">
        <v>0.03</v>
      </c>
      <c r="G286">
        <v>3.6</v>
      </c>
      <c r="H286">
        <v>0.1</v>
      </c>
      <c r="I286">
        <v>0.11</v>
      </c>
      <c r="J286">
        <v>0.01</v>
      </c>
      <c r="K286">
        <v>7.35</v>
      </c>
      <c r="L286">
        <v>0.13</v>
      </c>
      <c r="M286">
        <v>0.1</v>
      </c>
      <c r="N286">
        <v>0.01</v>
      </c>
      <c r="O286">
        <v>3.18</v>
      </c>
      <c r="P286">
        <v>0.08</v>
      </c>
      <c r="Q286">
        <v>25.56</v>
      </c>
      <c r="R286">
        <v>0.27</v>
      </c>
      <c r="S286">
        <v>1.4</v>
      </c>
      <c r="T286">
        <v>0.14000000000000001</v>
      </c>
      <c r="U286">
        <v>0.27</v>
      </c>
      <c r="V286">
        <v>0.02</v>
      </c>
      <c r="W286">
        <v>0.72</v>
      </c>
      <c r="X286">
        <v>0.05</v>
      </c>
      <c r="Y286">
        <v>36.93</v>
      </c>
      <c r="Z286">
        <v>0.38</v>
      </c>
      <c r="AA286">
        <v>0.95</v>
      </c>
      <c r="AB286">
        <v>0.03</v>
      </c>
      <c r="AW286">
        <v>320</v>
      </c>
      <c r="AX286">
        <v>24</v>
      </c>
      <c r="AY286">
        <v>570</v>
      </c>
      <c r="AZ286">
        <v>20</v>
      </c>
      <c r="BA286">
        <v>313</v>
      </c>
      <c r="BB286">
        <v>10</v>
      </c>
    </row>
    <row r="287" spans="1:54" x14ac:dyDescent="0.25">
      <c r="A287">
        <v>1702</v>
      </c>
      <c r="B287" t="s">
        <v>967</v>
      </c>
      <c r="C287">
        <v>20.79</v>
      </c>
      <c r="D287">
        <v>0.32</v>
      </c>
      <c r="E287">
        <v>0.36</v>
      </c>
      <c r="F287">
        <v>0.03</v>
      </c>
      <c r="G287">
        <v>3.83</v>
      </c>
      <c r="H287">
        <v>0.1</v>
      </c>
      <c r="I287">
        <v>0.16</v>
      </c>
      <c r="J287">
        <v>0.01</v>
      </c>
      <c r="K287">
        <v>7.59</v>
      </c>
      <c r="L287">
        <v>0.13</v>
      </c>
      <c r="M287">
        <v>0.14000000000000001</v>
      </c>
      <c r="N287">
        <v>0.01</v>
      </c>
      <c r="O287">
        <v>3.08</v>
      </c>
      <c r="P287">
        <v>0.08</v>
      </c>
      <c r="Q287">
        <v>24.2</v>
      </c>
      <c r="R287">
        <v>0.25</v>
      </c>
      <c r="S287">
        <v>1.63</v>
      </c>
      <c r="T287">
        <v>0.14000000000000001</v>
      </c>
      <c r="U287">
        <v>0.32</v>
      </c>
      <c r="V287">
        <v>0.02</v>
      </c>
      <c r="W287">
        <v>0.76</v>
      </c>
      <c r="X287">
        <v>7.0000000000000007E-2</v>
      </c>
      <c r="Y287">
        <v>35.54</v>
      </c>
      <c r="Z287">
        <v>0.38</v>
      </c>
      <c r="AA287">
        <v>1.32</v>
      </c>
      <c r="AB287">
        <v>0.03</v>
      </c>
      <c r="AW287">
        <v>381</v>
      </c>
      <c r="AX287">
        <v>20</v>
      </c>
      <c r="AY287">
        <v>606</v>
      </c>
      <c r="AZ287">
        <v>20</v>
      </c>
      <c r="BA287">
        <v>272</v>
      </c>
      <c r="BB287">
        <v>10</v>
      </c>
    </row>
    <row r="288" spans="1:54" x14ac:dyDescent="0.25">
      <c r="A288">
        <v>1702</v>
      </c>
      <c r="B288" t="s">
        <v>968</v>
      </c>
      <c r="C288">
        <v>25.98</v>
      </c>
      <c r="D288">
        <v>0.32</v>
      </c>
      <c r="E288">
        <v>0.55000000000000004</v>
      </c>
      <c r="F288">
        <v>0.02</v>
      </c>
      <c r="G288">
        <v>4.8600000000000003</v>
      </c>
      <c r="H288">
        <v>0.19</v>
      </c>
      <c r="I288">
        <v>0.17</v>
      </c>
      <c r="J288">
        <v>0.01</v>
      </c>
      <c r="K288">
        <v>9.2799999999999994</v>
      </c>
      <c r="L288">
        <v>0.13</v>
      </c>
      <c r="M288">
        <v>0.23</v>
      </c>
      <c r="N288">
        <v>0.01</v>
      </c>
      <c r="O288">
        <v>5.72</v>
      </c>
      <c r="P288">
        <v>0.17</v>
      </c>
      <c r="Q288">
        <v>19.48</v>
      </c>
      <c r="R288">
        <v>0.2</v>
      </c>
      <c r="S288">
        <v>1.84</v>
      </c>
      <c r="T288">
        <v>7.0000000000000007E-2</v>
      </c>
      <c r="U288">
        <v>0.44</v>
      </c>
      <c r="V288">
        <v>0.02</v>
      </c>
      <c r="W288">
        <v>1.08</v>
      </c>
      <c r="X288">
        <v>7.0000000000000007E-2</v>
      </c>
      <c r="Y288">
        <v>28.63</v>
      </c>
      <c r="Z288">
        <v>0.3</v>
      </c>
      <c r="AA288">
        <v>1.55</v>
      </c>
      <c r="AB288">
        <v>0.03</v>
      </c>
      <c r="AW288">
        <v>421</v>
      </c>
      <c r="AX288">
        <v>24</v>
      </c>
      <c r="AY288">
        <v>723</v>
      </c>
      <c r="AZ288">
        <v>24</v>
      </c>
      <c r="BA288">
        <v>237</v>
      </c>
      <c r="BB288">
        <v>10</v>
      </c>
    </row>
    <row r="289" spans="1:54" x14ac:dyDescent="0.25">
      <c r="A289">
        <v>1710</v>
      </c>
      <c r="B289" t="s">
        <v>969</v>
      </c>
      <c r="C289">
        <v>34.78</v>
      </c>
      <c r="D289">
        <v>0.43</v>
      </c>
      <c r="E289">
        <v>0.81</v>
      </c>
      <c r="F289">
        <v>0.03</v>
      </c>
      <c r="G289">
        <v>6.69</v>
      </c>
      <c r="H289">
        <v>0.19</v>
      </c>
      <c r="I289">
        <v>0.18</v>
      </c>
      <c r="J289">
        <v>0.01</v>
      </c>
      <c r="K289">
        <v>17.45</v>
      </c>
      <c r="L289">
        <v>0.2</v>
      </c>
      <c r="M289">
        <v>0.41</v>
      </c>
      <c r="N289">
        <v>0.03</v>
      </c>
      <c r="O289">
        <v>6.14</v>
      </c>
      <c r="P289">
        <v>0.17</v>
      </c>
      <c r="Q289">
        <v>10.6</v>
      </c>
      <c r="R289">
        <v>0.11</v>
      </c>
      <c r="S289">
        <v>2.16</v>
      </c>
      <c r="T289">
        <v>0.14000000000000001</v>
      </c>
      <c r="U289">
        <v>0.52</v>
      </c>
      <c r="V289">
        <v>0.02</v>
      </c>
      <c r="W289">
        <v>1.17</v>
      </c>
      <c r="X289">
        <v>7.0000000000000007E-2</v>
      </c>
      <c r="Y289">
        <v>17.45</v>
      </c>
      <c r="Z289">
        <v>0.2</v>
      </c>
      <c r="AA289">
        <v>1.41</v>
      </c>
      <c r="AB289">
        <v>0.03</v>
      </c>
      <c r="AW289">
        <v>421</v>
      </c>
      <c r="AX289">
        <v>24</v>
      </c>
      <c r="AY289">
        <v>944</v>
      </c>
      <c r="AZ289">
        <v>30</v>
      </c>
      <c r="BA289">
        <v>238</v>
      </c>
      <c r="BB289">
        <v>10</v>
      </c>
    </row>
    <row r="290" spans="1:54" x14ac:dyDescent="0.25">
      <c r="A290">
        <v>1710</v>
      </c>
      <c r="B290" t="s">
        <v>970</v>
      </c>
      <c r="C290">
        <v>33.630000000000003</v>
      </c>
      <c r="D290">
        <v>0.43</v>
      </c>
      <c r="E290">
        <v>0.82</v>
      </c>
      <c r="F290">
        <v>0.03</v>
      </c>
      <c r="G290">
        <v>6.54</v>
      </c>
      <c r="H290">
        <v>0.19</v>
      </c>
      <c r="I290">
        <v>0.2</v>
      </c>
      <c r="J290">
        <v>0.01</v>
      </c>
      <c r="K290">
        <v>16.96</v>
      </c>
      <c r="L290">
        <v>0.2</v>
      </c>
      <c r="M290">
        <v>0.56000000000000005</v>
      </c>
      <c r="N290">
        <v>0.01</v>
      </c>
      <c r="O290">
        <v>5.96</v>
      </c>
      <c r="P290">
        <v>0.17</v>
      </c>
      <c r="Q290">
        <v>10.87</v>
      </c>
      <c r="R290">
        <v>0.11</v>
      </c>
      <c r="S290">
        <v>2.21</v>
      </c>
      <c r="T290">
        <v>7.0000000000000007E-2</v>
      </c>
      <c r="U290">
        <v>0.54</v>
      </c>
      <c r="V290">
        <v>0.02</v>
      </c>
      <c r="W290">
        <v>1.81</v>
      </c>
      <c r="X290">
        <v>0.09</v>
      </c>
      <c r="Y290">
        <v>17.93</v>
      </c>
      <c r="Z290">
        <v>0.2</v>
      </c>
      <c r="AA290">
        <v>1.72</v>
      </c>
      <c r="AB290">
        <v>0.03</v>
      </c>
      <c r="AW290">
        <v>445</v>
      </c>
      <c r="AX290">
        <v>24</v>
      </c>
      <c r="AY290">
        <v>1132</v>
      </c>
      <c r="AZ290">
        <v>35</v>
      </c>
      <c r="BA290">
        <v>177</v>
      </c>
      <c r="BB290">
        <v>10</v>
      </c>
    </row>
    <row r="291" spans="1:54" x14ac:dyDescent="0.25">
      <c r="A291">
        <v>1714</v>
      </c>
      <c r="B291" t="s">
        <v>971</v>
      </c>
      <c r="C291">
        <v>34.64</v>
      </c>
      <c r="D291">
        <v>0.43</v>
      </c>
      <c r="E291">
        <v>0.86</v>
      </c>
      <c r="F291">
        <v>0.03</v>
      </c>
      <c r="G291">
        <v>7.67</v>
      </c>
      <c r="H291">
        <v>0.19</v>
      </c>
      <c r="I291">
        <v>0.16</v>
      </c>
      <c r="J291">
        <v>0.01</v>
      </c>
      <c r="K291">
        <v>23.49</v>
      </c>
      <c r="L291">
        <v>0.26</v>
      </c>
      <c r="M291">
        <v>0.76</v>
      </c>
      <c r="N291">
        <v>0.03</v>
      </c>
      <c r="O291">
        <v>7.1</v>
      </c>
      <c r="P291">
        <v>0.17</v>
      </c>
      <c r="Q291">
        <v>6.73</v>
      </c>
      <c r="R291">
        <v>7.0000000000000007E-2</v>
      </c>
      <c r="S291">
        <v>2.35</v>
      </c>
      <c r="T291">
        <v>0.14000000000000001</v>
      </c>
      <c r="U291">
        <v>0.51</v>
      </c>
      <c r="V291">
        <v>0.02</v>
      </c>
      <c r="W291">
        <v>3.2</v>
      </c>
      <c r="X291">
        <v>0.16</v>
      </c>
      <c r="Y291">
        <v>10.46</v>
      </c>
      <c r="Z291">
        <v>0.12</v>
      </c>
      <c r="AA291">
        <v>1.69</v>
      </c>
      <c r="AB291">
        <v>0.03</v>
      </c>
      <c r="AW291">
        <v>439</v>
      </c>
      <c r="AX291">
        <v>24</v>
      </c>
      <c r="AY291">
        <v>2173</v>
      </c>
      <c r="AZ291">
        <v>70</v>
      </c>
      <c r="BA291">
        <v>368</v>
      </c>
      <c r="BB291">
        <v>15</v>
      </c>
    </row>
    <row r="292" spans="1:54" x14ac:dyDescent="0.25">
      <c r="A292">
        <v>1714</v>
      </c>
      <c r="B292" t="s">
        <v>972</v>
      </c>
      <c r="C292">
        <v>37.82</v>
      </c>
      <c r="D292">
        <v>0.43</v>
      </c>
      <c r="E292">
        <v>0.84</v>
      </c>
      <c r="F292">
        <v>0.03</v>
      </c>
      <c r="G292">
        <v>8.16</v>
      </c>
      <c r="H292">
        <v>0.19</v>
      </c>
      <c r="I292">
        <v>0.17</v>
      </c>
      <c r="J292">
        <v>0.01</v>
      </c>
      <c r="K292">
        <v>21.28</v>
      </c>
      <c r="L292">
        <v>0.26</v>
      </c>
      <c r="M292">
        <v>0.6</v>
      </c>
      <c r="N292">
        <v>0.01</v>
      </c>
      <c r="O292">
        <v>6.97</v>
      </c>
      <c r="P292">
        <v>0.17</v>
      </c>
      <c r="Q292">
        <v>7.02</v>
      </c>
      <c r="R292">
        <v>0.08</v>
      </c>
      <c r="S292">
        <v>2.4700000000000002</v>
      </c>
      <c r="T292">
        <v>0.14000000000000001</v>
      </c>
      <c r="U292">
        <v>0.48</v>
      </c>
      <c r="V292">
        <v>0.02</v>
      </c>
      <c r="W292">
        <v>1.47</v>
      </c>
      <c r="X292">
        <v>0.09</v>
      </c>
      <c r="Y292">
        <v>10.63</v>
      </c>
      <c r="Z292">
        <v>0.12</v>
      </c>
      <c r="AA292">
        <v>1.76</v>
      </c>
      <c r="AB292">
        <v>0.03</v>
      </c>
      <c r="AW292">
        <v>375</v>
      </c>
      <c r="AX292">
        <v>20</v>
      </c>
      <c r="AY292">
        <v>2021</v>
      </c>
      <c r="AZ292">
        <v>65</v>
      </c>
      <c r="BA292">
        <v>355</v>
      </c>
      <c r="BB292">
        <v>15</v>
      </c>
    </row>
    <row r="293" spans="1:54" x14ac:dyDescent="0.25">
      <c r="A293">
        <v>1715</v>
      </c>
      <c r="B293" t="s">
        <v>973</v>
      </c>
      <c r="C293">
        <v>47.94</v>
      </c>
      <c r="D293">
        <v>0.54</v>
      </c>
      <c r="E293">
        <v>1.1399999999999999</v>
      </c>
      <c r="F293">
        <v>0.05</v>
      </c>
      <c r="G293">
        <v>8.9700000000000006</v>
      </c>
      <c r="H293">
        <v>0.19</v>
      </c>
      <c r="I293">
        <v>0.31</v>
      </c>
      <c r="J293">
        <v>0.03</v>
      </c>
      <c r="K293">
        <v>20.14</v>
      </c>
      <c r="L293">
        <v>0.26</v>
      </c>
      <c r="M293">
        <v>0.31</v>
      </c>
      <c r="N293">
        <v>0.03</v>
      </c>
      <c r="O293">
        <v>6.81</v>
      </c>
      <c r="P293">
        <v>0.17</v>
      </c>
      <c r="Q293">
        <v>3.52</v>
      </c>
      <c r="R293">
        <v>0.06</v>
      </c>
      <c r="S293">
        <v>2.4</v>
      </c>
      <c r="T293">
        <v>0.14000000000000001</v>
      </c>
      <c r="U293">
        <v>0.71</v>
      </c>
      <c r="V293">
        <v>0.02</v>
      </c>
      <c r="W293">
        <v>1.05</v>
      </c>
      <c r="X293">
        <v>7.0000000000000007E-2</v>
      </c>
      <c r="Y293">
        <v>5.48</v>
      </c>
      <c r="Z293">
        <v>0.12</v>
      </c>
      <c r="AA293">
        <v>0.81</v>
      </c>
      <c r="AB293">
        <v>0.03</v>
      </c>
      <c r="AW293">
        <v>890</v>
      </c>
      <c r="AX293">
        <v>44</v>
      </c>
      <c r="AY293">
        <v>1595</v>
      </c>
      <c r="AZ293">
        <v>49</v>
      </c>
      <c r="BA293">
        <v>395</v>
      </c>
      <c r="BB293">
        <v>15</v>
      </c>
    </row>
    <row r="294" spans="1:54" x14ac:dyDescent="0.25">
      <c r="A294">
        <v>1715</v>
      </c>
      <c r="B294" t="s">
        <v>974</v>
      </c>
      <c r="C294">
        <v>47.99</v>
      </c>
      <c r="D294">
        <v>0.54</v>
      </c>
      <c r="E294">
        <v>1.1399999999999999</v>
      </c>
      <c r="F294">
        <v>0.05</v>
      </c>
      <c r="G294">
        <v>8.84</v>
      </c>
      <c r="H294">
        <v>0.19</v>
      </c>
      <c r="I294">
        <v>0.34</v>
      </c>
      <c r="J294">
        <v>0.01</v>
      </c>
      <c r="K294">
        <v>20.37</v>
      </c>
      <c r="L294">
        <v>0.26</v>
      </c>
      <c r="M294">
        <v>0.28999999999999998</v>
      </c>
      <c r="N294">
        <v>0.01</v>
      </c>
      <c r="O294">
        <v>6.73</v>
      </c>
      <c r="P294">
        <v>0.17</v>
      </c>
      <c r="Q294">
        <v>3.56</v>
      </c>
      <c r="R294">
        <v>0.04</v>
      </c>
      <c r="S294">
        <v>2.33</v>
      </c>
      <c r="T294">
        <v>0.14000000000000001</v>
      </c>
      <c r="U294">
        <v>0.75</v>
      </c>
      <c r="V294">
        <v>0.02</v>
      </c>
      <c r="W294">
        <v>1.05</v>
      </c>
      <c r="X294">
        <v>7.0000000000000007E-2</v>
      </c>
      <c r="Y294">
        <v>5.41</v>
      </c>
      <c r="Z294">
        <v>0.1</v>
      </c>
      <c r="AA294">
        <v>0.83</v>
      </c>
      <c r="AB294">
        <v>0.03</v>
      </c>
      <c r="AW294">
        <v>898</v>
      </c>
      <c r="AX294">
        <v>44</v>
      </c>
      <c r="AY294">
        <v>1606</v>
      </c>
      <c r="AZ294">
        <v>49</v>
      </c>
      <c r="BA294">
        <v>518</v>
      </c>
      <c r="BB294">
        <v>20</v>
      </c>
    </row>
    <row r="295" spans="1:54" x14ac:dyDescent="0.25">
      <c r="A295">
        <v>1725</v>
      </c>
      <c r="B295" t="s">
        <v>975</v>
      </c>
      <c r="C295">
        <v>45.09</v>
      </c>
      <c r="D295">
        <v>0.54</v>
      </c>
      <c r="E295">
        <v>1.1000000000000001</v>
      </c>
      <c r="F295">
        <v>0.03</v>
      </c>
      <c r="G295">
        <v>8.39</v>
      </c>
      <c r="H295">
        <v>0.19</v>
      </c>
      <c r="I295">
        <v>0.3</v>
      </c>
      <c r="J295">
        <v>0.01</v>
      </c>
      <c r="K295">
        <v>20.16</v>
      </c>
      <c r="L295">
        <v>0.26</v>
      </c>
      <c r="M295">
        <v>0.3</v>
      </c>
      <c r="N295">
        <v>0.01</v>
      </c>
      <c r="O295">
        <v>6.7</v>
      </c>
      <c r="P295">
        <v>0.17</v>
      </c>
      <c r="Q295">
        <v>4.53</v>
      </c>
      <c r="R295">
        <v>0.06</v>
      </c>
      <c r="S295">
        <v>2.25</v>
      </c>
      <c r="T295">
        <v>0.14000000000000001</v>
      </c>
      <c r="U295">
        <v>0.71</v>
      </c>
      <c r="V295">
        <v>0.02</v>
      </c>
      <c r="W295">
        <v>1.18</v>
      </c>
      <c r="X295">
        <v>7.0000000000000007E-2</v>
      </c>
      <c r="Y295">
        <v>7.92</v>
      </c>
      <c r="Z295">
        <v>0.12</v>
      </c>
      <c r="AA295">
        <v>1</v>
      </c>
      <c r="AB295">
        <v>0.03</v>
      </c>
      <c r="AW295">
        <v>887</v>
      </c>
      <c r="AX295">
        <v>44</v>
      </c>
      <c r="AY295">
        <v>1858</v>
      </c>
      <c r="AZ295">
        <v>60</v>
      </c>
      <c r="BA295">
        <v>159</v>
      </c>
      <c r="BB295">
        <v>10</v>
      </c>
    </row>
    <row r="296" spans="1:54" x14ac:dyDescent="0.25">
      <c r="A296">
        <v>1725</v>
      </c>
      <c r="B296" t="s">
        <v>976</v>
      </c>
      <c r="C296">
        <v>12.01</v>
      </c>
      <c r="D296">
        <v>0.21</v>
      </c>
      <c r="E296">
        <v>0.05</v>
      </c>
      <c r="F296">
        <v>0.1</v>
      </c>
      <c r="G296">
        <v>2.72</v>
      </c>
      <c r="H296">
        <v>0.1</v>
      </c>
      <c r="I296">
        <v>0.06</v>
      </c>
      <c r="J296">
        <v>0.01</v>
      </c>
      <c r="K296">
        <v>2.37</v>
      </c>
      <c r="L296">
        <v>7.0000000000000007E-2</v>
      </c>
      <c r="M296">
        <v>0.05</v>
      </c>
      <c r="N296">
        <v>0.04</v>
      </c>
      <c r="O296">
        <v>3.31</v>
      </c>
      <c r="P296">
        <v>0.08</v>
      </c>
      <c r="Q296">
        <v>33.049999999999997</v>
      </c>
      <c r="R296">
        <v>0.34</v>
      </c>
      <c r="S296">
        <v>1.41</v>
      </c>
      <c r="T296">
        <v>0.14000000000000001</v>
      </c>
      <c r="U296">
        <v>7.0000000000000007E-2</v>
      </c>
      <c r="V296">
        <v>7.0000000000000007E-2</v>
      </c>
      <c r="W296">
        <v>0.52</v>
      </c>
      <c r="X296">
        <v>7.0000000000000007E-2</v>
      </c>
      <c r="Y296">
        <v>43.63</v>
      </c>
      <c r="Z296">
        <v>0.45</v>
      </c>
      <c r="AA296">
        <v>0.63</v>
      </c>
      <c r="AB296">
        <v>0.03</v>
      </c>
      <c r="AW296">
        <v>87</v>
      </c>
      <c r="AX296">
        <v>15</v>
      </c>
      <c r="AY296">
        <v>164</v>
      </c>
      <c r="AZ296">
        <v>10</v>
      </c>
      <c r="BA296">
        <v>38</v>
      </c>
      <c r="BB296">
        <v>5</v>
      </c>
    </row>
    <row r="297" spans="1:54" x14ac:dyDescent="0.25">
      <c r="A297">
        <v>1725</v>
      </c>
      <c r="B297" t="s">
        <v>977</v>
      </c>
      <c r="C297">
        <v>45.48</v>
      </c>
      <c r="D297">
        <v>0.54</v>
      </c>
      <c r="E297">
        <v>1.1100000000000001</v>
      </c>
      <c r="F297">
        <v>0.03</v>
      </c>
      <c r="G297">
        <v>8.4700000000000006</v>
      </c>
      <c r="H297">
        <v>0.19</v>
      </c>
      <c r="I297">
        <v>0.32</v>
      </c>
      <c r="J297">
        <v>0.01</v>
      </c>
      <c r="K297">
        <v>21.23</v>
      </c>
      <c r="L297">
        <v>0.26</v>
      </c>
      <c r="M297">
        <v>0.31</v>
      </c>
      <c r="N297">
        <v>0.01</v>
      </c>
      <c r="O297">
        <v>7.31</v>
      </c>
      <c r="P297">
        <v>0.17</v>
      </c>
      <c r="Q297">
        <v>3.7</v>
      </c>
      <c r="R297">
        <v>0.04</v>
      </c>
      <c r="S297">
        <v>2.39</v>
      </c>
      <c r="T297">
        <v>0.14000000000000001</v>
      </c>
      <c r="U297">
        <v>0.74</v>
      </c>
      <c r="V297">
        <v>0.02</v>
      </c>
      <c r="W297">
        <v>1.17</v>
      </c>
      <c r="X297">
        <v>7.0000000000000007E-2</v>
      </c>
      <c r="Y297">
        <v>6.18</v>
      </c>
      <c r="Z297">
        <v>0.1</v>
      </c>
      <c r="AA297">
        <v>1.1599999999999999</v>
      </c>
      <c r="AB297">
        <v>0.02</v>
      </c>
      <c r="AW297">
        <v>881</v>
      </c>
      <c r="AX297">
        <v>44</v>
      </c>
      <c r="AY297">
        <v>2011</v>
      </c>
      <c r="AZ297">
        <v>65</v>
      </c>
      <c r="BA297">
        <v>430</v>
      </c>
      <c r="BB297">
        <v>15</v>
      </c>
    </row>
    <row r="298" spans="1:54" x14ac:dyDescent="0.25">
      <c r="A298">
        <v>1729</v>
      </c>
      <c r="B298" t="s">
        <v>978</v>
      </c>
      <c r="C298">
        <v>45.89</v>
      </c>
      <c r="D298">
        <v>0.54</v>
      </c>
      <c r="E298">
        <v>1.05</v>
      </c>
      <c r="F298">
        <v>0.03</v>
      </c>
      <c r="G298">
        <v>8.5500000000000007</v>
      </c>
      <c r="H298">
        <v>0.19</v>
      </c>
      <c r="I298">
        <v>0.34</v>
      </c>
      <c r="J298">
        <v>0.01</v>
      </c>
      <c r="K298">
        <v>22.02</v>
      </c>
      <c r="L298">
        <v>0.26</v>
      </c>
      <c r="M298">
        <v>0.33</v>
      </c>
      <c r="N298">
        <v>0.01</v>
      </c>
      <c r="O298">
        <v>6.89</v>
      </c>
      <c r="P298">
        <v>0.17</v>
      </c>
      <c r="Q298">
        <v>3.54</v>
      </c>
      <c r="R298">
        <v>0.04</v>
      </c>
      <c r="S298">
        <v>2.35</v>
      </c>
      <c r="T298">
        <v>0.14000000000000001</v>
      </c>
      <c r="U298">
        <v>0.84</v>
      </c>
      <c r="V298">
        <v>0.04</v>
      </c>
      <c r="W298">
        <v>1.1100000000000001</v>
      </c>
      <c r="X298">
        <v>7.0000000000000007E-2</v>
      </c>
      <c r="Y298">
        <v>5.73</v>
      </c>
      <c r="Z298">
        <v>0.1</v>
      </c>
      <c r="AA298">
        <v>0.9</v>
      </c>
      <c r="AB298">
        <v>0.03</v>
      </c>
      <c r="AW298">
        <v>935</v>
      </c>
      <c r="AX298">
        <v>49</v>
      </c>
      <c r="AY298">
        <v>1847</v>
      </c>
      <c r="AZ298">
        <v>60</v>
      </c>
      <c r="BA298">
        <v>478</v>
      </c>
      <c r="BB298">
        <v>15</v>
      </c>
    </row>
    <row r="299" spans="1:54" x14ac:dyDescent="0.25">
      <c r="A299">
        <v>1729</v>
      </c>
      <c r="B299" t="s">
        <v>979</v>
      </c>
      <c r="C299">
        <v>21</v>
      </c>
      <c r="D299">
        <v>0.21</v>
      </c>
      <c r="E299">
        <v>0.36</v>
      </c>
      <c r="F299">
        <v>0.02</v>
      </c>
      <c r="G299">
        <v>4.28</v>
      </c>
      <c r="H299">
        <v>0.1</v>
      </c>
      <c r="I299">
        <v>0.11</v>
      </c>
      <c r="J299">
        <v>0.01</v>
      </c>
      <c r="K299">
        <v>6.44</v>
      </c>
      <c r="L299">
        <v>0.13</v>
      </c>
      <c r="M299">
        <v>0.1</v>
      </c>
      <c r="N299">
        <v>0.01</v>
      </c>
      <c r="O299">
        <v>4.8099999999999996</v>
      </c>
      <c r="P299">
        <v>0.17</v>
      </c>
      <c r="Q299">
        <v>23.98</v>
      </c>
      <c r="R299">
        <v>0.25</v>
      </c>
      <c r="S299">
        <v>1.85</v>
      </c>
      <c r="T299">
        <v>7.0000000000000007E-2</v>
      </c>
      <c r="U299">
        <v>0.33</v>
      </c>
      <c r="V299">
        <v>0.01</v>
      </c>
      <c r="W299">
        <v>0.82</v>
      </c>
      <c r="X299">
        <v>0.05</v>
      </c>
      <c r="Y299">
        <v>34.590000000000003</v>
      </c>
      <c r="Z299">
        <v>0.35</v>
      </c>
      <c r="AA299">
        <v>1.2</v>
      </c>
      <c r="AB299">
        <v>0.03</v>
      </c>
      <c r="AW299">
        <v>265</v>
      </c>
      <c r="AX299">
        <v>15</v>
      </c>
      <c r="AY299">
        <v>489</v>
      </c>
      <c r="AZ299">
        <v>15</v>
      </c>
      <c r="BA299">
        <v>129</v>
      </c>
      <c r="BB299">
        <v>5</v>
      </c>
    </row>
    <row r="300" spans="1:54" x14ac:dyDescent="0.25">
      <c r="A300">
        <v>1736</v>
      </c>
      <c r="B300" t="s">
        <v>980</v>
      </c>
      <c r="C300">
        <v>46.59</v>
      </c>
      <c r="D300">
        <v>0.54</v>
      </c>
      <c r="E300">
        <v>1.07</v>
      </c>
      <c r="F300">
        <v>0.03</v>
      </c>
      <c r="G300">
        <v>8.69</v>
      </c>
      <c r="H300">
        <v>0.19</v>
      </c>
      <c r="I300">
        <v>0.33</v>
      </c>
      <c r="J300">
        <v>0.03</v>
      </c>
      <c r="K300">
        <v>21.98</v>
      </c>
      <c r="L300">
        <v>0.26</v>
      </c>
      <c r="M300">
        <v>0.3</v>
      </c>
      <c r="N300">
        <v>0.03</v>
      </c>
      <c r="O300">
        <v>6.93</v>
      </c>
      <c r="P300">
        <v>0.17</v>
      </c>
      <c r="Q300">
        <v>3.61</v>
      </c>
      <c r="R300">
        <v>0.06</v>
      </c>
      <c r="S300">
        <v>2.33</v>
      </c>
      <c r="T300">
        <v>0.14000000000000001</v>
      </c>
      <c r="U300">
        <v>0.78</v>
      </c>
      <c r="V300">
        <v>0.02</v>
      </c>
      <c r="W300">
        <v>1.03</v>
      </c>
      <c r="X300">
        <v>7.0000000000000007E-2</v>
      </c>
      <c r="Y300">
        <v>4.83</v>
      </c>
      <c r="Z300">
        <v>0.1</v>
      </c>
      <c r="AA300">
        <v>1.1499999999999999</v>
      </c>
      <c r="AB300">
        <v>0.03</v>
      </c>
      <c r="AW300">
        <v>821</v>
      </c>
      <c r="AX300">
        <v>44</v>
      </c>
      <c r="AY300">
        <v>1712</v>
      </c>
      <c r="AZ300">
        <v>54</v>
      </c>
      <c r="BA300">
        <v>276</v>
      </c>
      <c r="BB300">
        <v>10</v>
      </c>
    </row>
    <row r="301" spans="1:54" x14ac:dyDescent="0.25">
      <c r="A301">
        <v>1736</v>
      </c>
      <c r="B301" t="s">
        <v>981</v>
      </c>
      <c r="C301">
        <v>49.84</v>
      </c>
      <c r="D301">
        <v>0.54</v>
      </c>
      <c r="E301">
        <v>1.17</v>
      </c>
      <c r="F301">
        <v>0.05</v>
      </c>
      <c r="G301">
        <v>8.82</v>
      </c>
      <c r="H301">
        <v>0.19</v>
      </c>
      <c r="I301">
        <v>0.33</v>
      </c>
      <c r="J301">
        <v>0.01</v>
      </c>
      <c r="K301">
        <v>23.09</v>
      </c>
      <c r="L301">
        <v>0.26</v>
      </c>
      <c r="M301">
        <v>0.3</v>
      </c>
      <c r="N301">
        <v>0.01</v>
      </c>
      <c r="O301">
        <v>5.2</v>
      </c>
      <c r="P301">
        <v>0.17</v>
      </c>
      <c r="Q301">
        <v>2.59</v>
      </c>
      <c r="R301">
        <v>0.03</v>
      </c>
      <c r="S301">
        <v>2.0099999999999998</v>
      </c>
      <c r="T301">
        <v>7.0000000000000007E-2</v>
      </c>
      <c r="U301">
        <v>1.01</v>
      </c>
      <c r="V301">
        <v>0.04</v>
      </c>
      <c r="W301">
        <v>1.1399999999999999</v>
      </c>
      <c r="X301">
        <v>7.0000000000000007E-2</v>
      </c>
      <c r="Y301">
        <v>2.94</v>
      </c>
      <c r="Z301">
        <v>0.05</v>
      </c>
      <c r="AA301">
        <v>1.1200000000000001</v>
      </c>
      <c r="AB301">
        <v>0.02</v>
      </c>
      <c r="AW301">
        <v>960</v>
      </c>
      <c r="AX301">
        <v>49</v>
      </c>
      <c r="AY301">
        <v>2063</v>
      </c>
      <c r="AZ301">
        <v>65</v>
      </c>
      <c r="BA301">
        <v>450</v>
      </c>
      <c r="BB301">
        <v>15</v>
      </c>
    </row>
    <row r="302" spans="1:54" x14ac:dyDescent="0.25">
      <c r="A302">
        <v>1744</v>
      </c>
      <c r="B302" t="s">
        <v>982</v>
      </c>
      <c r="C302">
        <v>48.74</v>
      </c>
      <c r="D302">
        <v>0.54</v>
      </c>
      <c r="E302">
        <v>1.1599999999999999</v>
      </c>
      <c r="F302">
        <v>0.05</v>
      </c>
      <c r="G302">
        <v>8.6300000000000008</v>
      </c>
      <c r="H302">
        <v>0.19</v>
      </c>
      <c r="I302">
        <v>0.35</v>
      </c>
      <c r="J302">
        <v>0.01</v>
      </c>
      <c r="K302">
        <v>22.79</v>
      </c>
      <c r="L302">
        <v>0.26</v>
      </c>
      <c r="M302">
        <v>0.35</v>
      </c>
      <c r="N302">
        <v>0.01</v>
      </c>
      <c r="O302">
        <v>5.73</v>
      </c>
      <c r="P302">
        <v>0.17</v>
      </c>
      <c r="Q302">
        <v>2.77</v>
      </c>
      <c r="R302">
        <v>0.04</v>
      </c>
      <c r="S302">
        <v>2.2999999999999998</v>
      </c>
      <c r="T302">
        <v>0.14000000000000001</v>
      </c>
      <c r="U302">
        <v>1.01</v>
      </c>
      <c r="V302">
        <v>0.04</v>
      </c>
      <c r="W302">
        <v>1.1100000000000001</v>
      </c>
      <c r="X302">
        <v>7.0000000000000007E-2</v>
      </c>
      <c r="Y302">
        <v>3.11</v>
      </c>
      <c r="Z302">
        <v>0.08</v>
      </c>
      <c r="AA302">
        <v>1.49</v>
      </c>
      <c r="AB302">
        <v>0.03</v>
      </c>
      <c r="AW302">
        <v>1006</v>
      </c>
      <c r="AX302">
        <v>54</v>
      </c>
      <c r="AY302">
        <v>2295</v>
      </c>
      <c r="AZ302">
        <v>70</v>
      </c>
      <c r="BA302">
        <v>425</v>
      </c>
      <c r="BB302">
        <v>15</v>
      </c>
    </row>
    <row r="303" spans="1:54" x14ac:dyDescent="0.25">
      <c r="A303">
        <v>1744</v>
      </c>
      <c r="B303" t="s">
        <v>983</v>
      </c>
      <c r="C303">
        <v>43.32</v>
      </c>
      <c r="D303">
        <v>0.54</v>
      </c>
      <c r="E303">
        <v>1.01</v>
      </c>
      <c r="F303">
        <v>0.03</v>
      </c>
      <c r="G303">
        <v>8.19</v>
      </c>
      <c r="H303">
        <v>0.19</v>
      </c>
      <c r="I303">
        <v>0.28000000000000003</v>
      </c>
      <c r="J303">
        <v>0.01</v>
      </c>
      <c r="K303">
        <v>21.69</v>
      </c>
      <c r="L303">
        <v>0.26</v>
      </c>
      <c r="M303">
        <v>0.35</v>
      </c>
      <c r="N303">
        <v>0.01</v>
      </c>
      <c r="O303">
        <v>6.98</v>
      </c>
      <c r="P303">
        <v>0.17</v>
      </c>
      <c r="Q303">
        <v>3.05</v>
      </c>
      <c r="R303">
        <v>0.04</v>
      </c>
      <c r="S303">
        <v>2.78</v>
      </c>
      <c r="T303">
        <v>0.14000000000000001</v>
      </c>
      <c r="U303">
        <v>0.91</v>
      </c>
      <c r="V303">
        <v>0.04</v>
      </c>
      <c r="W303">
        <v>1.04</v>
      </c>
      <c r="X303">
        <v>7.0000000000000007E-2</v>
      </c>
      <c r="Y303">
        <v>6.86</v>
      </c>
      <c r="Z303">
        <v>0.1</v>
      </c>
      <c r="AA303">
        <v>3.07</v>
      </c>
      <c r="AB303">
        <v>0.04</v>
      </c>
      <c r="AW303">
        <v>996</v>
      </c>
      <c r="AX303">
        <v>49</v>
      </c>
      <c r="AY303">
        <v>2440</v>
      </c>
      <c r="AZ303">
        <v>74</v>
      </c>
      <c r="BA303">
        <v>414</v>
      </c>
      <c r="BB303">
        <v>15</v>
      </c>
    </row>
    <row r="304" spans="1:54" x14ac:dyDescent="0.25">
      <c r="A304">
        <v>1749</v>
      </c>
      <c r="B304" t="s">
        <v>984</v>
      </c>
      <c r="C304">
        <v>44.12</v>
      </c>
      <c r="D304">
        <v>0.54</v>
      </c>
      <c r="E304">
        <v>0.97</v>
      </c>
      <c r="F304">
        <v>0.03</v>
      </c>
      <c r="G304">
        <v>9.0299999999999994</v>
      </c>
      <c r="H304">
        <v>0.19</v>
      </c>
      <c r="I304">
        <v>0.53</v>
      </c>
      <c r="J304">
        <v>0.01</v>
      </c>
      <c r="K304">
        <v>20.309999999999999</v>
      </c>
      <c r="L304">
        <v>0.26</v>
      </c>
      <c r="M304">
        <v>0.44</v>
      </c>
      <c r="N304">
        <v>0.01</v>
      </c>
      <c r="O304">
        <v>9.5500000000000007</v>
      </c>
      <c r="P304">
        <v>0.25</v>
      </c>
      <c r="Q304">
        <v>7.32</v>
      </c>
      <c r="R304">
        <v>0.08</v>
      </c>
      <c r="S304">
        <v>2.52</v>
      </c>
      <c r="T304">
        <v>0.14000000000000001</v>
      </c>
      <c r="U304">
        <v>0.42</v>
      </c>
      <c r="V304">
        <v>0.02</v>
      </c>
      <c r="W304">
        <v>0.8</v>
      </c>
      <c r="X304">
        <v>0.05</v>
      </c>
      <c r="Y304">
        <v>3.34</v>
      </c>
      <c r="Z304">
        <v>0.05</v>
      </c>
      <c r="AA304">
        <v>0.51</v>
      </c>
      <c r="AB304">
        <v>0.02</v>
      </c>
      <c r="AW304">
        <v>566</v>
      </c>
      <c r="AX304">
        <v>30</v>
      </c>
      <c r="AY304">
        <v>211</v>
      </c>
      <c r="AZ304">
        <v>10</v>
      </c>
      <c r="BA304">
        <v>35</v>
      </c>
      <c r="BB304">
        <v>5</v>
      </c>
    </row>
    <row r="305" spans="1:54" x14ac:dyDescent="0.25">
      <c r="A305">
        <v>1750</v>
      </c>
      <c r="B305" t="s">
        <v>985</v>
      </c>
      <c r="C305">
        <v>41.59</v>
      </c>
      <c r="D305">
        <v>0.43</v>
      </c>
      <c r="E305">
        <v>1.0900000000000001</v>
      </c>
      <c r="F305">
        <v>0.03</v>
      </c>
      <c r="G305">
        <v>8.15</v>
      </c>
      <c r="H305">
        <v>0.19</v>
      </c>
      <c r="I305">
        <v>0.3</v>
      </c>
      <c r="J305">
        <v>0.01</v>
      </c>
      <c r="K305">
        <v>22.54</v>
      </c>
      <c r="L305">
        <v>0.26</v>
      </c>
      <c r="M305">
        <v>0.43</v>
      </c>
      <c r="N305">
        <v>0.01</v>
      </c>
      <c r="O305">
        <v>10.48</v>
      </c>
      <c r="P305">
        <v>0.25</v>
      </c>
      <c r="Q305">
        <v>7.31</v>
      </c>
      <c r="R305">
        <v>0.08</v>
      </c>
      <c r="S305">
        <v>2.42</v>
      </c>
      <c r="T305">
        <v>0.14000000000000001</v>
      </c>
      <c r="U305">
        <v>0.41</v>
      </c>
      <c r="V305">
        <v>0.02</v>
      </c>
      <c r="W305">
        <v>0.9</v>
      </c>
      <c r="X305">
        <v>0.05</v>
      </c>
      <c r="Y305">
        <v>3.63</v>
      </c>
      <c r="Z305">
        <v>0.08</v>
      </c>
      <c r="AA305">
        <v>0.54</v>
      </c>
      <c r="AB305">
        <v>0.02</v>
      </c>
      <c r="AW305">
        <v>1394</v>
      </c>
      <c r="AX305">
        <v>70</v>
      </c>
      <c r="AY305">
        <v>164</v>
      </c>
      <c r="AZ305">
        <v>10</v>
      </c>
      <c r="BA305">
        <v>38</v>
      </c>
      <c r="BB305">
        <v>5</v>
      </c>
    </row>
    <row r="306" spans="1:54" x14ac:dyDescent="0.25">
      <c r="A306">
        <v>1783</v>
      </c>
      <c r="B306" t="s">
        <v>986</v>
      </c>
      <c r="C306">
        <v>23.38</v>
      </c>
      <c r="D306">
        <v>0.32</v>
      </c>
      <c r="E306">
        <v>0.35</v>
      </c>
      <c r="F306">
        <v>0.02</v>
      </c>
      <c r="G306">
        <v>4.6500000000000004</v>
      </c>
      <c r="H306">
        <v>0.1</v>
      </c>
      <c r="I306">
        <v>0.12</v>
      </c>
      <c r="J306">
        <v>0.01</v>
      </c>
      <c r="K306">
        <v>7.16</v>
      </c>
      <c r="L306">
        <v>0.13</v>
      </c>
      <c r="M306">
        <v>7.0000000000000007E-2</v>
      </c>
      <c r="N306">
        <v>0.01</v>
      </c>
      <c r="O306">
        <v>4.22</v>
      </c>
      <c r="P306">
        <v>0.17</v>
      </c>
      <c r="Q306">
        <v>23.51</v>
      </c>
      <c r="R306">
        <v>0.24</v>
      </c>
      <c r="S306">
        <v>1.76</v>
      </c>
      <c r="T306">
        <v>7.0000000000000007E-2</v>
      </c>
      <c r="U306">
        <v>0.34</v>
      </c>
      <c r="V306">
        <v>0.01</v>
      </c>
      <c r="W306">
        <v>0.78</v>
      </c>
      <c r="X306">
        <v>0.05</v>
      </c>
      <c r="Y306">
        <v>32.619999999999997</v>
      </c>
      <c r="Z306">
        <v>0.35</v>
      </c>
      <c r="AA306">
        <v>0.87</v>
      </c>
      <c r="AB306">
        <v>0.02</v>
      </c>
      <c r="AW306">
        <v>255</v>
      </c>
      <c r="AX306">
        <v>15</v>
      </c>
      <c r="AY306">
        <v>359</v>
      </c>
      <c r="AZ306">
        <v>15</v>
      </c>
      <c r="BA306">
        <v>244</v>
      </c>
      <c r="BB306">
        <v>10</v>
      </c>
    </row>
    <row r="307" spans="1:54" x14ac:dyDescent="0.25">
      <c r="A307">
        <v>1783</v>
      </c>
      <c r="B307" t="s">
        <v>987</v>
      </c>
      <c r="C307">
        <v>47.99</v>
      </c>
      <c r="D307">
        <v>0.54</v>
      </c>
      <c r="E307">
        <v>1.1000000000000001</v>
      </c>
      <c r="F307">
        <v>0.03</v>
      </c>
      <c r="G307">
        <v>8.76</v>
      </c>
      <c r="H307">
        <v>0.19</v>
      </c>
      <c r="I307">
        <v>0.33</v>
      </c>
      <c r="J307">
        <v>0.01</v>
      </c>
      <c r="K307">
        <v>21.25</v>
      </c>
      <c r="L307">
        <v>0.26</v>
      </c>
      <c r="M307">
        <v>0.22</v>
      </c>
      <c r="N307">
        <v>0.01</v>
      </c>
      <c r="O307">
        <v>6.15</v>
      </c>
      <c r="P307">
        <v>0.17</v>
      </c>
      <c r="Q307">
        <v>3.48</v>
      </c>
      <c r="R307">
        <v>0.04</v>
      </c>
      <c r="S307">
        <v>2.29</v>
      </c>
      <c r="T307">
        <v>0.14000000000000001</v>
      </c>
      <c r="U307">
        <v>0.93</v>
      </c>
      <c r="V307">
        <v>0.04</v>
      </c>
      <c r="W307">
        <v>0.99</v>
      </c>
      <c r="X307">
        <v>7.0000000000000007E-2</v>
      </c>
      <c r="Y307">
        <v>5.39</v>
      </c>
      <c r="Z307">
        <v>0.08</v>
      </c>
      <c r="AA307">
        <v>0.8</v>
      </c>
      <c r="AB307">
        <v>0.02</v>
      </c>
      <c r="AW307">
        <v>882</v>
      </c>
      <c r="AX307">
        <v>44</v>
      </c>
      <c r="AY307">
        <v>1083</v>
      </c>
      <c r="AZ307">
        <v>35</v>
      </c>
      <c r="BA307">
        <v>175</v>
      </c>
      <c r="BB307">
        <v>10</v>
      </c>
    </row>
    <row r="308" spans="1:54" x14ac:dyDescent="0.25">
      <c r="A308">
        <v>1790</v>
      </c>
      <c r="B308" t="s">
        <v>988</v>
      </c>
      <c r="C308">
        <v>42.42</v>
      </c>
      <c r="D308">
        <v>0.43</v>
      </c>
      <c r="E308">
        <v>0.92</v>
      </c>
      <c r="F308">
        <v>0.03</v>
      </c>
      <c r="G308">
        <v>8.34</v>
      </c>
      <c r="H308">
        <v>0.19</v>
      </c>
      <c r="I308">
        <v>0.41</v>
      </c>
      <c r="J308">
        <v>0.01</v>
      </c>
      <c r="K308">
        <v>21.92</v>
      </c>
      <c r="L308">
        <v>0.26</v>
      </c>
      <c r="M308">
        <v>0.44</v>
      </c>
      <c r="N308">
        <v>0.01</v>
      </c>
      <c r="O308">
        <v>11.49</v>
      </c>
      <c r="P308">
        <v>0.25</v>
      </c>
      <c r="Q308">
        <v>6.99</v>
      </c>
      <c r="R308">
        <v>7.0000000000000007E-2</v>
      </c>
      <c r="S308">
        <v>2.35</v>
      </c>
      <c r="T308">
        <v>0.14000000000000001</v>
      </c>
      <c r="U308">
        <v>0.39</v>
      </c>
      <c r="V308">
        <v>0.01</v>
      </c>
      <c r="W308">
        <v>0.76</v>
      </c>
      <c r="X308">
        <v>0.05</v>
      </c>
      <c r="Y308">
        <v>2.96</v>
      </c>
      <c r="Z308">
        <v>0.08</v>
      </c>
      <c r="AA308">
        <v>0.45</v>
      </c>
      <c r="AB308">
        <v>0.02</v>
      </c>
      <c r="AW308">
        <v>939</v>
      </c>
      <c r="AX308">
        <v>49</v>
      </c>
      <c r="AY308">
        <v>165</v>
      </c>
      <c r="AZ308">
        <v>10</v>
      </c>
      <c r="BA308">
        <v>40</v>
      </c>
      <c r="BB308">
        <v>5</v>
      </c>
    </row>
    <row r="309" spans="1:54" x14ac:dyDescent="0.25">
      <c r="A309">
        <v>1797</v>
      </c>
      <c r="B309" t="s">
        <v>989</v>
      </c>
      <c r="C309">
        <v>24.86</v>
      </c>
      <c r="D309">
        <v>0.32</v>
      </c>
      <c r="E309">
        <v>0.48</v>
      </c>
      <c r="F309">
        <v>0.02</v>
      </c>
      <c r="G309">
        <v>4.8600000000000003</v>
      </c>
      <c r="H309">
        <v>0.19</v>
      </c>
      <c r="I309">
        <v>0.14000000000000001</v>
      </c>
      <c r="J309">
        <v>0.01</v>
      </c>
      <c r="K309">
        <v>10.27</v>
      </c>
      <c r="L309">
        <v>0.13</v>
      </c>
      <c r="M309">
        <v>0.11</v>
      </c>
      <c r="N309">
        <v>0.01</v>
      </c>
      <c r="O309">
        <v>4.2699999999999996</v>
      </c>
      <c r="P309">
        <v>0.17</v>
      </c>
      <c r="Q309">
        <v>20.76</v>
      </c>
      <c r="R309">
        <v>0.21</v>
      </c>
      <c r="S309">
        <v>1.95</v>
      </c>
      <c r="T309">
        <v>7.0000000000000007E-2</v>
      </c>
      <c r="U309">
        <v>0.47</v>
      </c>
      <c r="V309">
        <v>0.02</v>
      </c>
      <c r="W309">
        <v>0.9</v>
      </c>
      <c r="X309">
        <v>0.05</v>
      </c>
      <c r="Y309">
        <v>29.33</v>
      </c>
      <c r="Z309">
        <v>0.3</v>
      </c>
      <c r="AA309">
        <v>1.39</v>
      </c>
      <c r="AB309">
        <v>0.03</v>
      </c>
      <c r="AW309">
        <v>392</v>
      </c>
      <c r="AX309">
        <v>20</v>
      </c>
      <c r="AY309">
        <v>656</v>
      </c>
      <c r="AZ309">
        <v>20</v>
      </c>
      <c r="BA309">
        <v>154</v>
      </c>
      <c r="BB309">
        <v>5</v>
      </c>
    </row>
    <row r="310" spans="1:54" x14ac:dyDescent="0.25">
      <c r="A310">
        <v>1797</v>
      </c>
      <c r="B310" t="s">
        <v>990</v>
      </c>
      <c r="C310">
        <v>22.88</v>
      </c>
      <c r="D310">
        <v>0.32</v>
      </c>
      <c r="E310">
        <v>0.43</v>
      </c>
      <c r="F310">
        <v>0.02</v>
      </c>
      <c r="G310">
        <v>4.57</v>
      </c>
      <c r="H310">
        <v>0.1</v>
      </c>
      <c r="I310">
        <v>0.14000000000000001</v>
      </c>
      <c r="J310">
        <v>0.01</v>
      </c>
      <c r="K310">
        <v>8.92</v>
      </c>
      <c r="L310">
        <v>0.13</v>
      </c>
      <c r="M310">
        <v>0.11</v>
      </c>
      <c r="N310">
        <v>0.01</v>
      </c>
      <c r="O310">
        <v>4.24</v>
      </c>
      <c r="P310">
        <v>0.17</v>
      </c>
      <c r="Q310">
        <v>22.29</v>
      </c>
      <c r="R310">
        <v>0.22</v>
      </c>
      <c r="S310">
        <v>1.92</v>
      </c>
      <c r="T310">
        <v>7.0000000000000007E-2</v>
      </c>
      <c r="U310">
        <v>0.42</v>
      </c>
      <c r="V310">
        <v>0.02</v>
      </c>
      <c r="W310">
        <v>0.86</v>
      </c>
      <c r="X310">
        <v>0.05</v>
      </c>
      <c r="Y310">
        <v>31.73</v>
      </c>
      <c r="Z310">
        <v>0.32</v>
      </c>
      <c r="AA310">
        <v>1.34</v>
      </c>
      <c r="AB310">
        <v>0.02</v>
      </c>
      <c r="AW310">
        <v>353</v>
      </c>
      <c r="AX310">
        <v>20</v>
      </c>
      <c r="AY310">
        <v>637</v>
      </c>
      <c r="AZ310">
        <v>20</v>
      </c>
      <c r="BA310">
        <v>206</v>
      </c>
      <c r="BB310">
        <v>10</v>
      </c>
    </row>
    <row r="311" spans="1:54" x14ac:dyDescent="0.25">
      <c r="A311">
        <v>1805</v>
      </c>
      <c r="B311" t="s">
        <v>991</v>
      </c>
      <c r="C311">
        <v>41.93</v>
      </c>
      <c r="D311">
        <v>0.43</v>
      </c>
      <c r="E311">
        <v>0.93</v>
      </c>
      <c r="F311">
        <v>0.03</v>
      </c>
      <c r="G311">
        <v>8.7799999999999994</v>
      </c>
      <c r="H311">
        <v>0.19</v>
      </c>
      <c r="I311">
        <v>0.37</v>
      </c>
      <c r="J311">
        <v>0.01</v>
      </c>
      <c r="K311">
        <v>22.77</v>
      </c>
      <c r="L311">
        <v>0.26</v>
      </c>
      <c r="M311">
        <v>0.46</v>
      </c>
      <c r="N311">
        <v>0.01</v>
      </c>
      <c r="O311">
        <v>8.89</v>
      </c>
      <c r="P311">
        <v>0.25</v>
      </c>
      <c r="Q311">
        <v>5.65</v>
      </c>
      <c r="R311">
        <v>7.0000000000000007E-2</v>
      </c>
      <c r="S311">
        <v>2.4500000000000002</v>
      </c>
      <c r="T311">
        <v>0.14000000000000001</v>
      </c>
      <c r="U311">
        <v>0.55000000000000004</v>
      </c>
      <c r="V311">
        <v>0.02</v>
      </c>
      <c r="W311">
        <v>2.02</v>
      </c>
      <c r="X311">
        <v>0.12</v>
      </c>
      <c r="Y311">
        <v>4.01</v>
      </c>
      <c r="Z311">
        <v>0.08</v>
      </c>
      <c r="AA311">
        <v>0.9</v>
      </c>
      <c r="AB311">
        <v>0.02</v>
      </c>
      <c r="AW311">
        <v>870</v>
      </c>
      <c r="AX311">
        <v>44</v>
      </c>
      <c r="AY311">
        <v>1391</v>
      </c>
      <c r="AZ311">
        <v>44</v>
      </c>
      <c r="BA311">
        <v>96</v>
      </c>
      <c r="BB311">
        <v>5</v>
      </c>
    </row>
    <row r="312" spans="1:54" x14ac:dyDescent="0.25">
      <c r="A312">
        <v>1806</v>
      </c>
      <c r="B312" t="s">
        <v>992</v>
      </c>
      <c r="C312">
        <v>43.12</v>
      </c>
      <c r="D312">
        <v>0.54</v>
      </c>
      <c r="E312">
        <v>0.96</v>
      </c>
      <c r="F312">
        <v>0.03</v>
      </c>
      <c r="G312">
        <v>7.83</v>
      </c>
      <c r="H312">
        <v>0.19</v>
      </c>
      <c r="I312">
        <v>0.26</v>
      </c>
      <c r="J312">
        <v>0.01</v>
      </c>
      <c r="K312">
        <v>15.58</v>
      </c>
      <c r="L312">
        <v>0.2</v>
      </c>
      <c r="M312">
        <v>0.17</v>
      </c>
      <c r="N312">
        <v>0.01</v>
      </c>
      <c r="O312">
        <v>5.3</v>
      </c>
      <c r="P312">
        <v>0.17</v>
      </c>
      <c r="Q312">
        <v>7.83</v>
      </c>
      <c r="R312">
        <v>0.08</v>
      </c>
      <c r="S312">
        <v>1.98</v>
      </c>
      <c r="T312">
        <v>7.0000000000000007E-2</v>
      </c>
      <c r="U312">
        <v>0.79</v>
      </c>
      <c r="V312">
        <v>0.02</v>
      </c>
      <c r="W312">
        <v>1.51</v>
      </c>
      <c r="X312">
        <v>0.09</v>
      </c>
      <c r="Y312">
        <v>13.6</v>
      </c>
      <c r="Z312">
        <v>0.15</v>
      </c>
      <c r="AA312">
        <v>0.79</v>
      </c>
      <c r="AB312">
        <v>0.02</v>
      </c>
      <c r="AW312">
        <v>491</v>
      </c>
      <c r="AX312">
        <v>24</v>
      </c>
      <c r="AY312">
        <v>1755</v>
      </c>
      <c r="AZ312">
        <v>54</v>
      </c>
      <c r="BA312">
        <v>87</v>
      </c>
      <c r="BB312">
        <v>5</v>
      </c>
    </row>
    <row r="313" spans="1:54" x14ac:dyDescent="0.25">
      <c r="A313">
        <v>1811</v>
      </c>
      <c r="B313" t="s">
        <v>993</v>
      </c>
      <c r="C313">
        <v>50.48</v>
      </c>
      <c r="D313">
        <v>0.54</v>
      </c>
      <c r="E313">
        <v>1.1200000000000001</v>
      </c>
      <c r="F313">
        <v>0.05</v>
      </c>
      <c r="G313">
        <v>9.59</v>
      </c>
      <c r="H313">
        <v>0.28999999999999998</v>
      </c>
      <c r="I313">
        <v>0.32</v>
      </c>
      <c r="J313">
        <v>0.01</v>
      </c>
      <c r="K313">
        <v>21.33</v>
      </c>
      <c r="L313">
        <v>0.26</v>
      </c>
      <c r="M313">
        <v>0.1</v>
      </c>
      <c r="N313">
        <v>0.01</v>
      </c>
      <c r="O313">
        <v>5.04</v>
      </c>
      <c r="P313">
        <v>0.17</v>
      </c>
      <c r="Q313">
        <v>2.73</v>
      </c>
      <c r="R313">
        <v>0.03</v>
      </c>
      <c r="S313">
        <v>2.31</v>
      </c>
      <c r="T313">
        <v>0.14000000000000001</v>
      </c>
      <c r="U313">
        <v>0.9</v>
      </c>
      <c r="V313">
        <v>0.04</v>
      </c>
      <c r="W313">
        <v>0.97</v>
      </c>
      <c r="X313">
        <v>7.0000000000000007E-2</v>
      </c>
      <c r="Y313">
        <v>3.8</v>
      </c>
      <c r="Z313">
        <v>0.05</v>
      </c>
      <c r="AA313">
        <v>0.93</v>
      </c>
      <c r="AB313">
        <v>0.02</v>
      </c>
      <c r="AW313">
        <v>1101</v>
      </c>
      <c r="AX313">
        <v>60</v>
      </c>
      <c r="AY313">
        <v>1946</v>
      </c>
      <c r="AZ313">
        <v>60</v>
      </c>
      <c r="BA313">
        <v>85</v>
      </c>
      <c r="BB313">
        <v>5</v>
      </c>
    </row>
    <row r="314" spans="1:54" x14ac:dyDescent="0.25">
      <c r="A314">
        <v>1816</v>
      </c>
      <c r="B314" t="s">
        <v>994</v>
      </c>
      <c r="C314">
        <v>50.06</v>
      </c>
      <c r="D314">
        <v>0.54</v>
      </c>
      <c r="E314">
        <v>1.0900000000000001</v>
      </c>
      <c r="F314">
        <v>0.03</v>
      </c>
      <c r="G314">
        <v>9.57</v>
      </c>
      <c r="H314">
        <v>0.28999999999999998</v>
      </c>
      <c r="I314">
        <v>0.32</v>
      </c>
      <c r="J314">
        <v>0.01</v>
      </c>
      <c r="K314">
        <v>22.08</v>
      </c>
      <c r="L314">
        <v>0.26</v>
      </c>
      <c r="M314">
        <v>0.09</v>
      </c>
      <c r="N314">
        <v>0.01</v>
      </c>
      <c r="O314">
        <v>4.6900000000000004</v>
      </c>
      <c r="P314">
        <v>0.17</v>
      </c>
      <c r="Q314">
        <v>2.46</v>
      </c>
      <c r="R314">
        <v>0.03</v>
      </c>
      <c r="S314">
        <v>2.44</v>
      </c>
      <c r="T314">
        <v>0.14000000000000001</v>
      </c>
      <c r="U314">
        <v>0.81</v>
      </c>
      <c r="V314">
        <v>0.04</v>
      </c>
      <c r="W314">
        <v>0.98</v>
      </c>
      <c r="X314">
        <v>7.0000000000000007E-2</v>
      </c>
      <c r="Y314">
        <v>3.78</v>
      </c>
      <c r="Z314">
        <v>0.08</v>
      </c>
      <c r="AA314">
        <v>1.33</v>
      </c>
      <c r="AB314">
        <v>0.03</v>
      </c>
      <c r="AW314">
        <v>948</v>
      </c>
      <c r="AX314">
        <v>49</v>
      </c>
      <c r="AY314">
        <v>1142</v>
      </c>
      <c r="AZ314">
        <v>35</v>
      </c>
      <c r="BA314">
        <v>115</v>
      </c>
      <c r="BB314">
        <v>5</v>
      </c>
    </row>
    <row r="315" spans="1:54" x14ac:dyDescent="0.25">
      <c r="A315">
        <v>1818</v>
      </c>
      <c r="B315" t="s">
        <v>995</v>
      </c>
      <c r="C315">
        <v>47.06</v>
      </c>
      <c r="D315">
        <v>0.54</v>
      </c>
      <c r="E315">
        <v>1.07</v>
      </c>
      <c r="F315">
        <v>0.03</v>
      </c>
      <c r="G315">
        <v>9.0500000000000007</v>
      </c>
      <c r="H315">
        <v>0.19</v>
      </c>
      <c r="I315">
        <v>0.32</v>
      </c>
      <c r="J315">
        <v>0.01</v>
      </c>
      <c r="K315">
        <v>20.55</v>
      </c>
      <c r="L315">
        <v>0.26</v>
      </c>
      <c r="M315">
        <v>0.11</v>
      </c>
      <c r="N315">
        <v>0.01</v>
      </c>
      <c r="O315">
        <v>4.2699999999999996</v>
      </c>
      <c r="P315">
        <v>0.17</v>
      </c>
      <c r="Q315">
        <v>3.76</v>
      </c>
      <c r="R315">
        <v>0.04</v>
      </c>
      <c r="S315">
        <v>3.08</v>
      </c>
      <c r="T315">
        <v>0.14000000000000001</v>
      </c>
      <c r="U315">
        <v>0.86</v>
      </c>
      <c r="V315">
        <v>0.04</v>
      </c>
      <c r="W315">
        <v>0.82</v>
      </c>
      <c r="X315">
        <v>0.05</v>
      </c>
      <c r="Y315">
        <v>6.04</v>
      </c>
      <c r="Z315">
        <v>0.1</v>
      </c>
      <c r="AA315">
        <v>2.64</v>
      </c>
      <c r="AB315">
        <v>0.04</v>
      </c>
      <c r="AW315">
        <v>948</v>
      </c>
      <c r="AX315">
        <v>49</v>
      </c>
      <c r="AY315">
        <v>1054</v>
      </c>
      <c r="AZ315">
        <v>35</v>
      </c>
      <c r="BA315">
        <v>272</v>
      </c>
      <c r="BB315">
        <v>10</v>
      </c>
    </row>
    <row r="316" spans="1:54" x14ac:dyDescent="0.25">
      <c r="A316">
        <v>1818</v>
      </c>
      <c r="B316" t="s">
        <v>996</v>
      </c>
      <c r="C316">
        <v>49.63</v>
      </c>
      <c r="D316">
        <v>0.54</v>
      </c>
      <c r="E316">
        <v>1.1399999999999999</v>
      </c>
      <c r="F316">
        <v>0.05</v>
      </c>
      <c r="G316">
        <v>9.3000000000000007</v>
      </c>
      <c r="H316">
        <v>0.19</v>
      </c>
      <c r="I316">
        <v>0.32</v>
      </c>
      <c r="J316">
        <v>0.01</v>
      </c>
      <c r="K316">
        <v>21.5</v>
      </c>
      <c r="L316">
        <v>0.26</v>
      </c>
      <c r="M316">
        <v>7.0000000000000007E-2</v>
      </c>
      <c r="N316">
        <v>0.01</v>
      </c>
      <c r="O316">
        <v>4.63</v>
      </c>
      <c r="P316">
        <v>0.17</v>
      </c>
      <c r="Q316">
        <v>2.68</v>
      </c>
      <c r="R316">
        <v>0.03</v>
      </c>
      <c r="S316">
        <v>2.65</v>
      </c>
      <c r="T316">
        <v>0.14000000000000001</v>
      </c>
      <c r="U316">
        <v>0.9</v>
      </c>
      <c r="V316">
        <v>0.04</v>
      </c>
      <c r="W316">
        <v>0.91</v>
      </c>
      <c r="X316">
        <v>0.05</v>
      </c>
      <c r="Y316">
        <v>4</v>
      </c>
      <c r="Z316">
        <v>0.08</v>
      </c>
      <c r="AA316">
        <v>1.96</v>
      </c>
      <c r="AB316">
        <v>0.03</v>
      </c>
      <c r="AW316">
        <v>926</v>
      </c>
      <c r="AX316">
        <v>49</v>
      </c>
      <c r="AY316">
        <v>1159</v>
      </c>
      <c r="AZ316">
        <v>35</v>
      </c>
      <c r="BA316">
        <v>155</v>
      </c>
      <c r="BB316">
        <v>5</v>
      </c>
    </row>
    <row r="317" spans="1:54" x14ac:dyDescent="0.25">
      <c r="A317">
        <v>1821</v>
      </c>
      <c r="B317" t="s">
        <v>997</v>
      </c>
      <c r="C317">
        <v>46.27</v>
      </c>
      <c r="D317">
        <v>0.54</v>
      </c>
      <c r="E317">
        <v>1.04</v>
      </c>
      <c r="F317">
        <v>0.03</v>
      </c>
      <c r="G317">
        <v>8.66</v>
      </c>
      <c r="H317">
        <v>0.19</v>
      </c>
      <c r="I317">
        <v>0.3</v>
      </c>
      <c r="J317">
        <v>0.01</v>
      </c>
      <c r="K317">
        <v>20.14</v>
      </c>
      <c r="L317">
        <v>0.26</v>
      </c>
      <c r="M317">
        <v>0.13</v>
      </c>
      <c r="N317">
        <v>0.01</v>
      </c>
      <c r="O317">
        <v>5.99</v>
      </c>
      <c r="P317">
        <v>0.17</v>
      </c>
      <c r="Q317">
        <v>4.38</v>
      </c>
      <c r="R317">
        <v>0.06</v>
      </c>
      <c r="S317">
        <v>2.54</v>
      </c>
      <c r="T317">
        <v>0.14000000000000001</v>
      </c>
      <c r="U317">
        <v>0.81</v>
      </c>
      <c r="V317">
        <v>0.04</v>
      </c>
      <c r="W317">
        <v>0.96</v>
      </c>
      <c r="X317">
        <v>7.0000000000000007E-2</v>
      </c>
      <c r="Y317">
        <v>6.66</v>
      </c>
      <c r="Z317">
        <v>0.12</v>
      </c>
      <c r="AA317">
        <v>1.77</v>
      </c>
      <c r="AB317">
        <v>0.04</v>
      </c>
      <c r="AW317">
        <v>991</v>
      </c>
      <c r="AX317">
        <v>49</v>
      </c>
      <c r="AY317">
        <v>1013</v>
      </c>
      <c r="AZ317">
        <v>35</v>
      </c>
      <c r="BA317">
        <v>555</v>
      </c>
      <c r="BB317">
        <v>20</v>
      </c>
    </row>
    <row r="318" spans="1:54" x14ac:dyDescent="0.25">
      <c r="A318">
        <v>1821</v>
      </c>
      <c r="B318" t="s">
        <v>998</v>
      </c>
      <c r="C318">
        <v>47.19</v>
      </c>
      <c r="D318">
        <v>0.54</v>
      </c>
      <c r="E318">
        <v>1.07</v>
      </c>
      <c r="F318">
        <v>0.03</v>
      </c>
      <c r="G318">
        <v>9.01</v>
      </c>
      <c r="H318">
        <v>0.19</v>
      </c>
      <c r="I318">
        <v>0.31</v>
      </c>
      <c r="J318">
        <v>0.01</v>
      </c>
      <c r="K318">
        <v>18.78</v>
      </c>
      <c r="L318">
        <v>0.2</v>
      </c>
      <c r="M318">
        <v>0.12</v>
      </c>
      <c r="N318">
        <v>0.01</v>
      </c>
      <c r="O318">
        <v>4.83</v>
      </c>
      <c r="P318">
        <v>0.17</v>
      </c>
      <c r="Q318">
        <v>4.4000000000000004</v>
      </c>
      <c r="R318">
        <v>0.06</v>
      </c>
      <c r="S318">
        <v>2.75</v>
      </c>
      <c r="T318">
        <v>0.14000000000000001</v>
      </c>
      <c r="U318">
        <v>0.98</v>
      </c>
      <c r="V318">
        <v>0.04</v>
      </c>
      <c r="W318">
        <v>0.86</v>
      </c>
      <c r="X318">
        <v>0.05</v>
      </c>
      <c r="Y318">
        <v>6.59</v>
      </c>
      <c r="Z318">
        <v>0.08</v>
      </c>
      <c r="AA318">
        <v>2.78</v>
      </c>
      <c r="AB318">
        <v>0.03</v>
      </c>
      <c r="AW318">
        <v>920</v>
      </c>
      <c r="AX318">
        <v>49</v>
      </c>
      <c r="AY318">
        <v>940</v>
      </c>
      <c r="AZ318">
        <v>30</v>
      </c>
      <c r="BA318">
        <v>379</v>
      </c>
      <c r="BB318">
        <v>15</v>
      </c>
    </row>
    <row r="319" spans="1:54" x14ac:dyDescent="0.25">
      <c r="A319">
        <v>1824</v>
      </c>
      <c r="B319" t="s">
        <v>999</v>
      </c>
      <c r="C319">
        <v>45.41</v>
      </c>
      <c r="D319">
        <v>0.54</v>
      </c>
      <c r="E319">
        <v>1.02</v>
      </c>
      <c r="F319">
        <v>0.03</v>
      </c>
      <c r="G319">
        <v>8.69</v>
      </c>
      <c r="H319">
        <v>0.19</v>
      </c>
      <c r="I319">
        <v>0.3</v>
      </c>
      <c r="J319">
        <v>0.01</v>
      </c>
      <c r="K319">
        <v>19.079999999999998</v>
      </c>
      <c r="L319">
        <v>0.2</v>
      </c>
      <c r="M319">
        <v>0.3</v>
      </c>
      <c r="N319">
        <v>0.01</v>
      </c>
      <c r="O319">
        <v>6.53</v>
      </c>
      <c r="P319">
        <v>0.17</v>
      </c>
      <c r="Q319">
        <v>5.57</v>
      </c>
      <c r="R319">
        <v>0.06</v>
      </c>
      <c r="S319">
        <v>2.4900000000000002</v>
      </c>
      <c r="T319">
        <v>0.14000000000000001</v>
      </c>
      <c r="U319">
        <v>0.78</v>
      </c>
      <c r="V319">
        <v>0.02</v>
      </c>
      <c r="W319">
        <v>0.93</v>
      </c>
      <c r="X319">
        <v>7.0000000000000007E-2</v>
      </c>
      <c r="Y319">
        <v>7.47</v>
      </c>
      <c r="Z319">
        <v>0.1</v>
      </c>
      <c r="AA319">
        <v>1.1000000000000001</v>
      </c>
      <c r="AB319">
        <v>0.03</v>
      </c>
      <c r="AW319">
        <v>776</v>
      </c>
      <c r="AX319">
        <v>40</v>
      </c>
      <c r="AY319">
        <v>916</v>
      </c>
      <c r="AZ319">
        <v>30</v>
      </c>
      <c r="BA319">
        <v>186</v>
      </c>
      <c r="BB319">
        <v>10</v>
      </c>
    </row>
    <row r="320" spans="1:54" x14ac:dyDescent="0.25">
      <c r="A320">
        <v>1824</v>
      </c>
      <c r="B320" t="s">
        <v>1000</v>
      </c>
      <c r="C320">
        <v>46.65</v>
      </c>
      <c r="D320">
        <v>0.54</v>
      </c>
      <c r="E320">
        <v>1.05</v>
      </c>
      <c r="F320">
        <v>0.03</v>
      </c>
      <c r="G320">
        <v>8.9600000000000009</v>
      </c>
      <c r="H320">
        <v>0.19</v>
      </c>
      <c r="I320">
        <v>0.3</v>
      </c>
      <c r="J320">
        <v>0.01</v>
      </c>
      <c r="K320">
        <v>18.03</v>
      </c>
      <c r="L320">
        <v>0.2</v>
      </c>
      <c r="M320">
        <v>0.25</v>
      </c>
      <c r="N320">
        <v>0.01</v>
      </c>
      <c r="O320">
        <v>5.69</v>
      </c>
      <c r="P320">
        <v>0.17</v>
      </c>
      <c r="Q320">
        <v>5.19</v>
      </c>
      <c r="R320">
        <v>0.06</v>
      </c>
      <c r="S320">
        <v>2.37</v>
      </c>
      <c r="T320">
        <v>0.14000000000000001</v>
      </c>
      <c r="U320">
        <v>0.96</v>
      </c>
      <c r="V320">
        <v>0.04</v>
      </c>
      <c r="W320">
        <v>0.93</v>
      </c>
      <c r="X320">
        <v>7.0000000000000007E-2</v>
      </c>
      <c r="Y320">
        <v>8.4600000000000009</v>
      </c>
      <c r="Z320">
        <v>0.1</v>
      </c>
      <c r="AA320">
        <v>0.88</v>
      </c>
      <c r="AB320">
        <v>0.02</v>
      </c>
      <c r="AW320">
        <v>807</v>
      </c>
      <c r="AX320">
        <v>44</v>
      </c>
      <c r="AY320">
        <v>961</v>
      </c>
      <c r="AZ320">
        <v>30</v>
      </c>
      <c r="BA320">
        <v>322</v>
      </c>
      <c r="BB320">
        <v>10</v>
      </c>
    </row>
    <row r="321" spans="1:54" x14ac:dyDescent="0.25">
      <c r="A321">
        <v>1836</v>
      </c>
      <c r="B321" t="s">
        <v>1001</v>
      </c>
      <c r="C321">
        <v>47.27</v>
      </c>
      <c r="D321">
        <v>0.54</v>
      </c>
      <c r="E321">
        <v>1.03</v>
      </c>
      <c r="F321">
        <v>0.03</v>
      </c>
      <c r="G321">
        <v>9.18</v>
      </c>
      <c r="H321">
        <v>0.19</v>
      </c>
      <c r="I321">
        <v>0.28999999999999998</v>
      </c>
      <c r="J321">
        <v>0.01</v>
      </c>
      <c r="K321">
        <v>20</v>
      </c>
      <c r="L321">
        <v>0.26</v>
      </c>
      <c r="M321">
        <v>0.26</v>
      </c>
      <c r="N321">
        <v>0.01</v>
      </c>
      <c r="O321">
        <v>5.48</v>
      </c>
      <c r="P321">
        <v>0.17</v>
      </c>
      <c r="Q321">
        <v>4.01</v>
      </c>
      <c r="R321">
        <v>0.04</v>
      </c>
      <c r="S321">
        <v>2.44</v>
      </c>
      <c r="T321">
        <v>0.14000000000000001</v>
      </c>
      <c r="U321">
        <v>1.02</v>
      </c>
      <c r="V321">
        <v>0.04</v>
      </c>
      <c r="W321">
        <v>1.21</v>
      </c>
      <c r="X321">
        <v>7.0000000000000007E-2</v>
      </c>
      <c r="Y321">
        <v>6.42</v>
      </c>
      <c r="Z321">
        <v>0.08</v>
      </c>
      <c r="AA321">
        <v>1.1000000000000001</v>
      </c>
      <c r="AB321">
        <v>0.02</v>
      </c>
      <c r="AW321">
        <v>737</v>
      </c>
      <c r="AX321">
        <v>40</v>
      </c>
      <c r="AY321">
        <v>1181</v>
      </c>
      <c r="AZ321">
        <v>40</v>
      </c>
      <c r="BA321">
        <v>87</v>
      </c>
      <c r="BB321">
        <v>5</v>
      </c>
    </row>
    <row r="322" spans="1:54" x14ac:dyDescent="0.25">
      <c r="A322">
        <v>1838</v>
      </c>
      <c r="B322" t="s">
        <v>1002</v>
      </c>
      <c r="C322">
        <v>46.38</v>
      </c>
      <c r="D322">
        <v>0.54</v>
      </c>
      <c r="E322">
        <v>1.0900000000000001</v>
      </c>
      <c r="F322">
        <v>0.03</v>
      </c>
      <c r="G322">
        <v>9</v>
      </c>
      <c r="H322">
        <v>0.19</v>
      </c>
      <c r="I322">
        <v>0.32</v>
      </c>
      <c r="J322">
        <v>0.01</v>
      </c>
      <c r="K322">
        <v>18.27</v>
      </c>
      <c r="L322">
        <v>0.2</v>
      </c>
      <c r="M322">
        <v>0.37</v>
      </c>
      <c r="N322">
        <v>0.01</v>
      </c>
      <c r="O322">
        <v>6.28</v>
      </c>
      <c r="P322">
        <v>0.17</v>
      </c>
      <c r="Q322">
        <v>5.09</v>
      </c>
      <c r="R322">
        <v>0.06</v>
      </c>
      <c r="S322">
        <v>2.5299999999999998</v>
      </c>
      <c r="T322">
        <v>0.14000000000000001</v>
      </c>
      <c r="U322">
        <v>0.93</v>
      </c>
      <c r="V322">
        <v>0.04</v>
      </c>
      <c r="W322">
        <v>0.83</v>
      </c>
      <c r="X322">
        <v>0.05</v>
      </c>
      <c r="Y322">
        <v>7.44</v>
      </c>
      <c r="Z322">
        <v>0.08</v>
      </c>
      <c r="AA322">
        <v>1.1499999999999999</v>
      </c>
      <c r="AB322">
        <v>0.02</v>
      </c>
      <c r="AW322">
        <v>868</v>
      </c>
      <c r="AX322">
        <v>44</v>
      </c>
      <c r="AY322">
        <v>1410</v>
      </c>
      <c r="AZ322">
        <v>44</v>
      </c>
      <c r="BA322">
        <v>82</v>
      </c>
      <c r="BB322">
        <v>5</v>
      </c>
    </row>
    <row r="323" spans="1:54" x14ac:dyDescent="0.25">
      <c r="A323">
        <v>1845</v>
      </c>
      <c r="B323" t="s">
        <v>1003</v>
      </c>
      <c r="C323">
        <v>44.9</v>
      </c>
      <c r="D323">
        <v>0.54</v>
      </c>
      <c r="E323">
        <v>1.06</v>
      </c>
      <c r="F323">
        <v>0.03</v>
      </c>
      <c r="G323">
        <v>8.85</v>
      </c>
      <c r="H323">
        <v>0.19</v>
      </c>
      <c r="I323">
        <v>0.33</v>
      </c>
      <c r="J323">
        <v>0.01</v>
      </c>
      <c r="K323">
        <v>19.96</v>
      </c>
      <c r="L323">
        <v>0.26</v>
      </c>
      <c r="M323">
        <v>0.34</v>
      </c>
      <c r="N323">
        <v>0.01</v>
      </c>
      <c r="O323">
        <v>6.83</v>
      </c>
      <c r="P323">
        <v>0.17</v>
      </c>
      <c r="Q323">
        <v>4.59</v>
      </c>
      <c r="R323">
        <v>0.06</v>
      </c>
      <c r="S323">
        <v>2.72</v>
      </c>
      <c r="T323">
        <v>0.14000000000000001</v>
      </c>
      <c r="U323">
        <v>0.87</v>
      </c>
      <c r="V323">
        <v>0.04</v>
      </c>
      <c r="W323">
        <v>0.96</v>
      </c>
      <c r="X323">
        <v>7.0000000000000007E-2</v>
      </c>
      <c r="Y323">
        <v>6.38</v>
      </c>
      <c r="Z323">
        <v>0.08</v>
      </c>
      <c r="AA323">
        <v>1.88</v>
      </c>
      <c r="AB323">
        <v>0.03</v>
      </c>
      <c r="AW323">
        <v>804</v>
      </c>
      <c r="AX323">
        <v>44</v>
      </c>
      <c r="AY323">
        <v>1331</v>
      </c>
      <c r="AZ323">
        <v>40</v>
      </c>
      <c r="BA323">
        <v>140</v>
      </c>
      <c r="BB323">
        <v>5</v>
      </c>
    </row>
    <row r="324" spans="1:54" x14ac:dyDescent="0.25">
      <c r="A324">
        <v>1852</v>
      </c>
      <c r="B324" t="s">
        <v>1004</v>
      </c>
      <c r="C324">
        <v>49.79</v>
      </c>
      <c r="D324">
        <v>0.54</v>
      </c>
      <c r="E324">
        <v>1.07</v>
      </c>
      <c r="F324">
        <v>0.03</v>
      </c>
      <c r="G324">
        <v>9.3000000000000007</v>
      </c>
      <c r="H324">
        <v>0.19</v>
      </c>
      <c r="I324">
        <v>0.3</v>
      </c>
      <c r="J324">
        <v>0.01</v>
      </c>
      <c r="K324">
        <v>20.59</v>
      </c>
      <c r="L324">
        <v>0.26</v>
      </c>
      <c r="M324">
        <v>0.3</v>
      </c>
      <c r="N324">
        <v>0.01</v>
      </c>
      <c r="O324">
        <v>5.46</v>
      </c>
      <c r="P324">
        <v>0.17</v>
      </c>
      <c r="Q324">
        <v>3.26</v>
      </c>
      <c r="R324">
        <v>0.04</v>
      </c>
      <c r="S324">
        <v>2.42</v>
      </c>
      <c r="T324">
        <v>0.14000000000000001</v>
      </c>
      <c r="U324">
        <v>1.06</v>
      </c>
      <c r="V324">
        <v>0.04</v>
      </c>
      <c r="W324">
        <v>0.89</v>
      </c>
      <c r="X324">
        <v>0.05</v>
      </c>
      <c r="Y324">
        <v>4.57</v>
      </c>
      <c r="Z324">
        <v>0.08</v>
      </c>
      <c r="AA324">
        <v>0.73</v>
      </c>
      <c r="AB324">
        <v>0.02</v>
      </c>
      <c r="AW324">
        <v>948</v>
      </c>
      <c r="AX324">
        <v>49</v>
      </c>
      <c r="AY324">
        <v>967</v>
      </c>
      <c r="AZ324">
        <v>30</v>
      </c>
      <c r="BA324">
        <v>96</v>
      </c>
      <c r="BB324">
        <v>5</v>
      </c>
    </row>
    <row r="325" spans="1:54" x14ac:dyDescent="0.25">
      <c r="A325">
        <v>1863</v>
      </c>
      <c r="B325" t="s">
        <v>1005</v>
      </c>
      <c r="C325">
        <v>48.36</v>
      </c>
      <c r="D325">
        <v>0.54</v>
      </c>
      <c r="E325">
        <v>1.06</v>
      </c>
      <c r="F325">
        <v>0.03</v>
      </c>
      <c r="G325">
        <v>9</v>
      </c>
      <c r="H325">
        <v>0.19</v>
      </c>
      <c r="I325">
        <v>0.3</v>
      </c>
      <c r="J325">
        <v>0.01</v>
      </c>
      <c r="K325">
        <v>19.32</v>
      </c>
      <c r="L325">
        <v>0.26</v>
      </c>
      <c r="M325">
        <v>0.3</v>
      </c>
      <c r="N325">
        <v>0.01</v>
      </c>
      <c r="O325">
        <v>5.39</v>
      </c>
      <c r="P325">
        <v>0.17</v>
      </c>
      <c r="Q325">
        <v>4.33</v>
      </c>
      <c r="R325">
        <v>0.06</v>
      </c>
      <c r="S325">
        <v>2.38</v>
      </c>
      <c r="T325">
        <v>0.14000000000000001</v>
      </c>
      <c r="U325">
        <v>1.04</v>
      </c>
      <c r="V325">
        <v>0.04</v>
      </c>
      <c r="W325">
        <v>0.85</v>
      </c>
      <c r="X325">
        <v>0.05</v>
      </c>
      <c r="Y325">
        <v>6.6</v>
      </c>
      <c r="Z325">
        <v>0.08</v>
      </c>
      <c r="AA325">
        <v>0.82</v>
      </c>
      <c r="AB325">
        <v>0.02</v>
      </c>
      <c r="AW325">
        <v>883</v>
      </c>
      <c r="AX325">
        <v>44</v>
      </c>
      <c r="AY325">
        <v>895</v>
      </c>
      <c r="AZ325">
        <v>30</v>
      </c>
      <c r="BA325">
        <v>80</v>
      </c>
      <c r="BB325">
        <v>5</v>
      </c>
    </row>
    <row r="326" spans="1:54" x14ac:dyDescent="0.25">
      <c r="A326">
        <v>1865</v>
      </c>
      <c r="B326" t="s">
        <v>1006</v>
      </c>
      <c r="C326">
        <v>44.35</v>
      </c>
      <c r="D326">
        <v>0.54</v>
      </c>
      <c r="E326">
        <v>1</v>
      </c>
      <c r="F326">
        <v>0.05</v>
      </c>
      <c r="G326">
        <v>9.15</v>
      </c>
      <c r="H326">
        <v>0.19</v>
      </c>
      <c r="I326">
        <v>0.36</v>
      </c>
      <c r="J326">
        <v>0.03</v>
      </c>
      <c r="K326">
        <v>18.309999999999999</v>
      </c>
      <c r="L326">
        <v>0.2</v>
      </c>
      <c r="M326">
        <v>0.3</v>
      </c>
      <c r="N326">
        <v>0.01</v>
      </c>
      <c r="O326">
        <v>6.8</v>
      </c>
      <c r="P326">
        <v>0.17</v>
      </c>
      <c r="Q326">
        <v>6.92</v>
      </c>
      <c r="R326">
        <v>7.0000000000000007E-2</v>
      </c>
      <c r="S326">
        <v>2.6</v>
      </c>
      <c r="T326">
        <v>0.14000000000000001</v>
      </c>
      <c r="U326">
        <v>0.75</v>
      </c>
      <c r="V326">
        <v>0.02</v>
      </c>
      <c r="W326">
        <v>0.86</v>
      </c>
      <c r="X326">
        <v>0.05</v>
      </c>
      <c r="Y326">
        <v>7.76</v>
      </c>
      <c r="Z326">
        <v>0.12</v>
      </c>
      <c r="AA326">
        <v>0.64</v>
      </c>
      <c r="AB326">
        <v>0.03</v>
      </c>
      <c r="AW326">
        <v>702</v>
      </c>
      <c r="AX326">
        <v>40</v>
      </c>
      <c r="AY326">
        <v>667</v>
      </c>
      <c r="AZ326">
        <v>24</v>
      </c>
      <c r="BA326">
        <v>41</v>
      </c>
      <c r="BB326">
        <v>5</v>
      </c>
    </row>
    <row r="327" spans="1:54" x14ac:dyDescent="0.25">
      <c r="A327">
        <v>1865</v>
      </c>
      <c r="B327" t="s">
        <v>1007</v>
      </c>
      <c r="C327">
        <v>46.59</v>
      </c>
      <c r="D327">
        <v>0.54</v>
      </c>
      <c r="E327">
        <v>1.1000000000000001</v>
      </c>
      <c r="F327">
        <v>0.03</v>
      </c>
      <c r="G327">
        <v>9.1300000000000008</v>
      </c>
      <c r="H327">
        <v>0.19</v>
      </c>
      <c r="I327">
        <v>0.32</v>
      </c>
      <c r="J327">
        <v>0.01</v>
      </c>
      <c r="K327">
        <v>20.420000000000002</v>
      </c>
      <c r="L327">
        <v>0.26</v>
      </c>
      <c r="M327">
        <v>0.26</v>
      </c>
      <c r="N327">
        <v>0.01</v>
      </c>
      <c r="O327">
        <v>6.79</v>
      </c>
      <c r="P327">
        <v>0.17</v>
      </c>
      <c r="Q327">
        <v>4.0199999999999996</v>
      </c>
      <c r="R327">
        <v>0.04</v>
      </c>
      <c r="S327">
        <v>2.5499999999999998</v>
      </c>
      <c r="T327">
        <v>0.14000000000000001</v>
      </c>
      <c r="U327">
        <v>0.89</v>
      </c>
      <c r="V327">
        <v>0.04</v>
      </c>
      <c r="W327">
        <v>1</v>
      </c>
      <c r="X327">
        <v>7.0000000000000007E-2</v>
      </c>
      <c r="Y327">
        <v>5.72</v>
      </c>
      <c r="Z327">
        <v>0.08</v>
      </c>
      <c r="AA327">
        <v>0.94</v>
      </c>
      <c r="AB327">
        <v>0.02</v>
      </c>
      <c r="AW327">
        <v>834</v>
      </c>
      <c r="AX327">
        <v>44</v>
      </c>
      <c r="AY327">
        <v>939</v>
      </c>
      <c r="AZ327">
        <v>30</v>
      </c>
      <c r="BA327">
        <v>92</v>
      </c>
      <c r="BB327">
        <v>5</v>
      </c>
    </row>
    <row r="328" spans="1:54" x14ac:dyDescent="0.25">
      <c r="A328">
        <v>1868</v>
      </c>
      <c r="B328" t="s">
        <v>1008</v>
      </c>
      <c r="C328">
        <v>44.63</v>
      </c>
      <c r="D328">
        <v>0.54</v>
      </c>
      <c r="E328">
        <v>1.06</v>
      </c>
      <c r="F328">
        <v>0.03</v>
      </c>
      <c r="G328">
        <v>8.6999999999999993</v>
      </c>
      <c r="H328">
        <v>0.19</v>
      </c>
      <c r="I328">
        <v>0.33</v>
      </c>
      <c r="J328">
        <v>0.01</v>
      </c>
      <c r="K328">
        <v>19.54</v>
      </c>
      <c r="L328">
        <v>0.26</v>
      </c>
      <c r="M328">
        <v>0.39</v>
      </c>
      <c r="N328">
        <v>0.01</v>
      </c>
      <c r="O328">
        <v>6.65</v>
      </c>
      <c r="P328">
        <v>0.17</v>
      </c>
      <c r="Q328">
        <v>5.75</v>
      </c>
      <c r="R328">
        <v>7.0000000000000007E-2</v>
      </c>
      <c r="S328">
        <v>2.54</v>
      </c>
      <c r="T328">
        <v>0.14000000000000001</v>
      </c>
      <c r="U328">
        <v>0.91</v>
      </c>
      <c r="V328">
        <v>0.04</v>
      </c>
      <c r="W328">
        <v>0.94</v>
      </c>
      <c r="X328">
        <v>7.0000000000000007E-2</v>
      </c>
      <c r="Y328">
        <v>7.39</v>
      </c>
      <c r="Z328">
        <v>0.08</v>
      </c>
      <c r="AA328">
        <v>0.87</v>
      </c>
      <c r="AB328">
        <v>0.02</v>
      </c>
      <c r="AW328">
        <v>851</v>
      </c>
      <c r="AX328">
        <v>44</v>
      </c>
      <c r="AY328">
        <v>980</v>
      </c>
      <c r="AZ328">
        <v>30</v>
      </c>
      <c r="BA328">
        <v>353</v>
      </c>
      <c r="BB328">
        <v>15</v>
      </c>
    </row>
    <row r="329" spans="1:54" x14ac:dyDescent="0.25">
      <c r="A329">
        <v>1870</v>
      </c>
      <c r="B329" t="s">
        <v>1009</v>
      </c>
      <c r="C329">
        <v>41.81</v>
      </c>
      <c r="D329">
        <v>0.43</v>
      </c>
      <c r="E329">
        <v>0.92</v>
      </c>
      <c r="F329">
        <v>0.03</v>
      </c>
      <c r="G329">
        <v>7.83</v>
      </c>
      <c r="H329">
        <v>0.19</v>
      </c>
      <c r="I329">
        <v>0.3</v>
      </c>
      <c r="J329">
        <v>0.03</v>
      </c>
      <c r="K329">
        <v>24.37</v>
      </c>
      <c r="L329">
        <v>0.26</v>
      </c>
      <c r="M329">
        <v>0.37</v>
      </c>
      <c r="N329">
        <v>0.03</v>
      </c>
      <c r="O329">
        <v>6.34</v>
      </c>
      <c r="P329">
        <v>0.17</v>
      </c>
      <c r="Q329">
        <v>4.66</v>
      </c>
      <c r="R329">
        <v>0.06</v>
      </c>
      <c r="S329">
        <v>2.56</v>
      </c>
      <c r="T329">
        <v>0.14000000000000001</v>
      </c>
      <c r="U329">
        <v>0.85</v>
      </c>
      <c r="V329">
        <v>0.04</v>
      </c>
      <c r="W329">
        <v>1.34</v>
      </c>
      <c r="X329">
        <v>7.0000000000000007E-2</v>
      </c>
      <c r="Y329">
        <v>5.66</v>
      </c>
      <c r="Z329">
        <v>0.12</v>
      </c>
      <c r="AA329">
        <v>2.72</v>
      </c>
      <c r="AB329">
        <v>0.05</v>
      </c>
      <c r="AW329">
        <v>720</v>
      </c>
      <c r="AX329">
        <v>40</v>
      </c>
      <c r="AY329">
        <v>688</v>
      </c>
      <c r="AZ329">
        <v>24</v>
      </c>
      <c r="BA329">
        <v>516</v>
      </c>
      <c r="BB329">
        <v>20</v>
      </c>
    </row>
    <row r="330" spans="1:54" x14ac:dyDescent="0.25">
      <c r="A330">
        <v>1870</v>
      </c>
      <c r="B330" t="s">
        <v>1010</v>
      </c>
      <c r="C330">
        <v>45</v>
      </c>
      <c r="D330">
        <v>0.54</v>
      </c>
      <c r="E330">
        <v>1</v>
      </c>
      <c r="F330">
        <v>0.03</v>
      </c>
      <c r="G330">
        <v>8.49</v>
      </c>
      <c r="H330">
        <v>0.19</v>
      </c>
      <c r="I330">
        <v>0.3</v>
      </c>
      <c r="J330">
        <v>0.01</v>
      </c>
      <c r="K330">
        <v>17.18</v>
      </c>
      <c r="L330">
        <v>0.2</v>
      </c>
      <c r="M330">
        <v>0.38</v>
      </c>
      <c r="N330">
        <v>0.01</v>
      </c>
      <c r="O330">
        <v>5.68</v>
      </c>
      <c r="P330">
        <v>0.17</v>
      </c>
      <c r="Q330">
        <v>6.09</v>
      </c>
      <c r="R330">
        <v>7.0000000000000007E-2</v>
      </c>
      <c r="S330">
        <v>2.82</v>
      </c>
      <c r="T330">
        <v>0.14000000000000001</v>
      </c>
      <c r="U330">
        <v>0.94</v>
      </c>
      <c r="V330">
        <v>0.04</v>
      </c>
      <c r="W330">
        <v>0.8</v>
      </c>
      <c r="X330">
        <v>0.05</v>
      </c>
      <c r="Y330">
        <v>9.2100000000000009</v>
      </c>
      <c r="Z330">
        <v>0.1</v>
      </c>
      <c r="AA330">
        <v>1.84</v>
      </c>
      <c r="AB330">
        <v>0.03</v>
      </c>
      <c r="AW330">
        <v>738</v>
      </c>
      <c r="AX330">
        <v>40</v>
      </c>
      <c r="AY330">
        <v>971</v>
      </c>
      <c r="AZ330">
        <v>30</v>
      </c>
      <c r="BA330">
        <v>80</v>
      </c>
      <c r="BB330">
        <v>5</v>
      </c>
    </row>
    <row r="331" spans="1:54" x14ac:dyDescent="0.25">
      <c r="A331">
        <v>1875</v>
      </c>
      <c r="B331" t="s">
        <v>1011</v>
      </c>
      <c r="C331">
        <v>46.04</v>
      </c>
      <c r="D331">
        <v>0.54</v>
      </c>
      <c r="E331">
        <v>1.05</v>
      </c>
      <c r="F331">
        <v>0.03</v>
      </c>
      <c r="G331">
        <v>8.75</v>
      </c>
      <c r="H331">
        <v>0.19</v>
      </c>
      <c r="I331">
        <v>0.3</v>
      </c>
      <c r="J331">
        <v>0.01</v>
      </c>
      <c r="K331">
        <v>19.87</v>
      </c>
      <c r="L331">
        <v>0.26</v>
      </c>
      <c r="M331">
        <v>0.41</v>
      </c>
      <c r="N331">
        <v>0.01</v>
      </c>
      <c r="O331">
        <v>5.54</v>
      </c>
      <c r="P331">
        <v>0.17</v>
      </c>
      <c r="Q331">
        <v>4.71</v>
      </c>
      <c r="R331">
        <v>0.06</v>
      </c>
      <c r="S331">
        <v>2.38</v>
      </c>
      <c r="T331">
        <v>0.14000000000000001</v>
      </c>
      <c r="U331">
        <v>1.02</v>
      </c>
      <c r="V331">
        <v>0.04</v>
      </c>
      <c r="W331">
        <v>0.94</v>
      </c>
      <c r="X331">
        <v>7.0000000000000007E-2</v>
      </c>
      <c r="Y331">
        <v>7.89</v>
      </c>
      <c r="Z331">
        <v>0.1</v>
      </c>
      <c r="AA331">
        <v>0.84</v>
      </c>
      <c r="AB331">
        <v>0.02</v>
      </c>
      <c r="AW331">
        <v>825</v>
      </c>
      <c r="AX331">
        <v>44</v>
      </c>
      <c r="AY331">
        <v>960</v>
      </c>
      <c r="AZ331">
        <v>30</v>
      </c>
      <c r="BA331">
        <v>116</v>
      </c>
      <c r="BB331">
        <v>5</v>
      </c>
    </row>
    <row r="332" spans="1:54" x14ac:dyDescent="0.25">
      <c r="A332">
        <v>1879</v>
      </c>
      <c r="B332" t="s">
        <v>1012</v>
      </c>
      <c r="C332">
        <v>49.33</v>
      </c>
      <c r="D332">
        <v>0.54</v>
      </c>
      <c r="E332">
        <v>1</v>
      </c>
      <c r="F332">
        <v>0.03</v>
      </c>
      <c r="G332">
        <v>9.2899999999999991</v>
      </c>
      <c r="H332">
        <v>0.19</v>
      </c>
      <c r="I332">
        <v>0.28000000000000003</v>
      </c>
      <c r="J332">
        <v>0.01</v>
      </c>
      <c r="K332">
        <v>17.940000000000001</v>
      </c>
      <c r="L332">
        <v>0.2</v>
      </c>
      <c r="M332">
        <v>0.26</v>
      </c>
      <c r="N332">
        <v>0.01</v>
      </c>
      <c r="O332">
        <v>5.56</v>
      </c>
      <c r="P332">
        <v>0.17</v>
      </c>
      <c r="Q332">
        <v>3.28</v>
      </c>
      <c r="R332">
        <v>0.04</v>
      </c>
      <c r="S332">
        <v>2.87</v>
      </c>
      <c r="T332">
        <v>0.14000000000000001</v>
      </c>
      <c r="U332">
        <v>1.1499999999999999</v>
      </c>
      <c r="V332">
        <v>0.04</v>
      </c>
      <c r="W332">
        <v>0.85</v>
      </c>
      <c r="X332">
        <v>0.05</v>
      </c>
      <c r="Y332">
        <v>6.18</v>
      </c>
      <c r="Z332">
        <v>0.08</v>
      </c>
      <c r="AA332">
        <v>1.76</v>
      </c>
      <c r="AB332">
        <v>0.02</v>
      </c>
      <c r="AW332">
        <v>838</v>
      </c>
      <c r="AX332">
        <v>44</v>
      </c>
      <c r="AY332">
        <v>903</v>
      </c>
      <c r="AZ332">
        <v>30</v>
      </c>
      <c r="BA332">
        <v>54</v>
      </c>
      <c r="BB332">
        <v>5</v>
      </c>
    </row>
    <row r="333" spans="1:54" x14ac:dyDescent="0.25">
      <c r="A333">
        <v>1885</v>
      </c>
      <c r="B333" t="s">
        <v>1013</v>
      </c>
      <c r="C333">
        <v>50.05</v>
      </c>
      <c r="D333">
        <v>0.54</v>
      </c>
      <c r="E333">
        <v>1.01</v>
      </c>
      <c r="F333">
        <v>0.03</v>
      </c>
      <c r="G333">
        <v>9.36</v>
      </c>
      <c r="H333">
        <v>0.19</v>
      </c>
      <c r="I333">
        <v>0.28999999999999998</v>
      </c>
      <c r="J333">
        <v>0.01</v>
      </c>
      <c r="K333">
        <v>17.48</v>
      </c>
      <c r="L333">
        <v>0.2</v>
      </c>
      <c r="M333">
        <v>0.32</v>
      </c>
      <c r="N333">
        <v>0.01</v>
      </c>
      <c r="O333">
        <v>5.61</v>
      </c>
      <c r="P333">
        <v>0.17</v>
      </c>
      <c r="Q333">
        <v>3.73</v>
      </c>
      <c r="R333">
        <v>0.04</v>
      </c>
      <c r="S333">
        <v>2.4900000000000002</v>
      </c>
      <c r="T333">
        <v>0.14000000000000001</v>
      </c>
      <c r="U333">
        <v>1.0900000000000001</v>
      </c>
      <c r="V333">
        <v>0.04</v>
      </c>
      <c r="W333">
        <v>0.84</v>
      </c>
      <c r="X333">
        <v>0.05</v>
      </c>
      <c r="Y333">
        <v>6.23</v>
      </c>
      <c r="Z333">
        <v>0.12</v>
      </c>
      <c r="AA333">
        <v>1.23</v>
      </c>
      <c r="AB333">
        <v>0.03</v>
      </c>
      <c r="AW333">
        <v>920</v>
      </c>
      <c r="AX333">
        <v>49</v>
      </c>
      <c r="AY333">
        <v>987</v>
      </c>
      <c r="AZ333">
        <v>30</v>
      </c>
      <c r="BA333">
        <v>43</v>
      </c>
      <c r="BB333">
        <v>5</v>
      </c>
    </row>
    <row r="334" spans="1:54" x14ac:dyDescent="0.25">
      <c r="A334">
        <v>1885</v>
      </c>
      <c r="B334" t="s">
        <v>1014</v>
      </c>
      <c r="C334">
        <v>50.37</v>
      </c>
      <c r="D334">
        <v>0.54</v>
      </c>
      <c r="E334">
        <v>0.98</v>
      </c>
      <c r="F334">
        <v>0.03</v>
      </c>
      <c r="G334">
        <v>9.98</v>
      </c>
      <c r="H334">
        <v>0.28999999999999998</v>
      </c>
      <c r="I334">
        <v>0.28000000000000003</v>
      </c>
      <c r="J334">
        <v>0.01</v>
      </c>
      <c r="K334">
        <v>16.57</v>
      </c>
      <c r="L334">
        <v>0.2</v>
      </c>
      <c r="M334">
        <v>0.24</v>
      </c>
      <c r="N334">
        <v>0.01</v>
      </c>
      <c r="O334">
        <v>5.58</v>
      </c>
      <c r="P334">
        <v>0.17</v>
      </c>
      <c r="Q334">
        <v>3.59</v>
      </c>
      <c r="R334">
        <v>0.04</v>
      </c>
      <c r="S334">
        <v>2.74</v>
      </c>
      <c r="T334">
        <v>0.14000000000000001</v>
      </c>
      <c r="U334">
        <v>1</v>
      </c>
      <c r="V334">
        <v>0.04</v>
      </c>
      <c r="W334">
        <v>0.9</v>
      </c>
      <c r="X334">
        <v>0.05</v>
      </c>
      <c r="Y334">
        <v>5.85</v>
      </c>
      <c r="Z334">
        <v>0.08</v>
      </c>
      <c r="AA334">
        <v>1.69</v>
      </c>
      <c r="AB334">
        <v>0.03</v>
      </c>
      <c r="AW334">
        <v>903</v>
      </c>
      <c r="AX334">
        <v>49</v>
      </c>
      <c r="AY334">
        <v>821</v>
      </c>
      <c r="AZ334">
        <v>24</v>
      </c>
      <c r="BA334">
        <v>46</v>
      </c>
      <c r="BB334">
        <v>5</v>
      </c>
    </row>
    <row r="335" spans="1:54" x14ac:dyDescent="0.25">
      <c r="A335">
        <v>1892</v>
      </c>
      <c r="B335" t="s">
        <v>1015</v>
      </c>
      <c r="C335">
        <v>50.01</v>
      </c>
      <c r="D335">
        <v>0.54</v>
      </c>
      <c r="E335">
        <v>1.04</v>
      </c>
      <c r="F335">
        <v>0.03</v>
      </c>
      <c r="G335">
        <v>9.93</v>
      </c>
      <c r="H335">
        <v>0.28999999999999998</v>
      </c>
      <c r="I335">
        <v>0.3</v>
      </c>
      <c r="J335">
        <v>0.01</v>
      </c>
      <c r="K335">
        <v>16.850000000000001</v>
      </c>
      <c r="L335">
        <v>0.2</v>
      </c>
      <c r="M335">
        <v>0.1</v>
      </c>
      <c r="N335">
        <v>0.01</v>
      </c>
      <c r="O335">
        <v>5.53</v>
      </c>
      <c r="P335">
        <v>0.17</v>
      </c>
      <c r="Q335">
        <v>3.7</v>
      </c>
      <c r="R335">
        <v>0.04</v>
      </c>
      <c r="S335">
        <v>2.86</v>
      </c>
      <c r="T335">
        <v>0.14000000000000001</v>
      </c>
      <c r="U335">
        <v>1.17</v>
      </c>
      <c r="V335">
        <v>0.04</v>
      </c>
      <c r="W335">
        <v>0.81</v>
      </c>
      <c r="X335">
        <v>0.05</v>
      </c>
      <c r="Y335">
        <v>5.74</v>
      </c>
      <c r="Z335">
        <v>0.1</v>
      </c>
      <c r="AA335">
        <v>1.72</v>
      </c>
      <c r="AB335">
        <v>0.03</v>
      </c>
      <c r="AW335">
        <v>1004</v>
      </c>
      <c r="AX335">
        <v>54</v>
      </c>
      <c r="AY335">
        <v>588</v>
      </c>
      <c r="AZ335">
        <v>20</v>
      </c>
      <c r="BA335">
        <v>55</v>
      </c>
      <c r="BB335">
        <v>5</v>
      </c>
    </row>
    <row r="336" spans="1:54" x14ac:dyDescent="0.25">
      <c r="A336">
        <v>1895</v>
      </c>
      <c r="B336" t="s">
        <v>1016</v>
      </c>
      <c r="C336">
        <v>47.82</v>
      </c>
      <c r="D336">
        <v>0.54</v>
      </c>
      <c r="E336">
        <v>1.03</v>
      </c>
      <c r="F336">
        <v>0.03</v>
      </c>
      <c r="G336">
        <v>8.94</v>
      </c>
      <c r="H336">
        <v>0.19</v>
      </c>
      <c r="I336">
        <v>0.28999999999999998</v>
      </c>
      <c r="J336">
        <v>0.01</v>
      </c>
      <c r="K336">
        <v>20.52</v>
      </c>
      <c r="L336">
        <v>0.26</v>
      </c>
      <c r="M336">
        <v>0.38</v>
      </c>
      <c r="N336">
        <v>0.01</v>
      </c>
      <c r="O336">
        <v>5.75</v>
      </c>
      <c r="P336">
        <v>0.17</v>
      </c>
      <c r="Q336">
        <v>2.99</v>
      </c>
      <c r="R336">
        <v>0.04</v>
      </c>
      <c r="S336">
        <v>2.4700000000000002</v>
      </c>
      <c r="T336">
        <v>0.14000000000000001</v>
      </c>
      <c r="U336">
        <v>1.17</v>
      </c>
      <c r="V336">
        <v>0.04</v>
      </c>
      <c r="W336">
        <v>0.83</v>
      </c>
      <c r="X336">
        <v>0.05</v>
      </c>
      <c r="Y336">
        <v>5.62</v>
      </c>
      <c r="Z336">
        <v>0.08</v>
      </c>
      <c r="AA336">
        <v>1.88</v>
      </c>
      <c r="AB336">
        <v>0.03</v>
      </c>
      <c r="AW336">
        <v>992</v>
      </c>
      <c r="AX336">
        <v>49</v>
      </c>
      <c r="AY336">
        <v>1304</v>
      </c>
      <c r="AZ336">
        <v>40</v>
      </c>
      <c r="BA336">
        <v>111</v>
      </c>
      <c r="BB336">
        <v>5</v>
      </c>
    </row>
    <row r="337" spans="1:54" x14ac:dyDescent="0.25">
      <c r="A337">
        <v>1897</v>
      </c>
      <c r="B337" t="s">
        <v>1017</v>
      </c>
      <c r="C337">
        <v>51.52</v>
      </c>
      <c r="D337">
        <v>0.64</v>
      </c>
      <c r="E337">
        <v>1.04</v>
      </c>
      <c r="F337">
        <v>0.03</v>
      </c>
      <c r="G337">
        <v>10.130000000000001</v>
      </c>
      <c r="H337">
        <v>0.28999999999999998</v>
      </c>
      <c r="I337">
        <v>0.28999999999999998</v>
      </c>
      <c r="J337">
        <v>0.01</v>
      </c>
      <c r="K337">
        <v>16.79</v>
      </c>
      <c r="L337">
        <v>0.2</v>
      </c>
      <c r="M337">
        <v>0.16</v>
      </c>
      <c r="N337">
        <v>0.01</v>
      </c>
      <c r="O337">
        <v>5.19</v>
      </c>
      <c r="P337">
        <v>0.17</v>
      </c>
      <c r="Q337">
        <v>3.33</v>
      </c>
      <c r="R337">
        <v>0.04</v>
      </c>
      <c r="S337">
        <v>2.78</v>
      </c>
      <c r="T337">
        <v>0.14000000000000001</v>
      </c>
      <c r="U337">
        <v>0.95</v>
      </c>
      <c r="V337">
        <v>0.04</v>
      </c>
      <c r="W337">
        <v>0.77</v>
      </c>
      <c r="X337">
        <v>0.05</v>
      </c>
      <c r="Y337">
        <v>5.3</v>
      </c>
      <c r="Z337">
        <v>0.1</v>
      </c>
      <c r="AA337">
        <v>1.49</v>
      </c>
      <c r="AB337">
        <v>0.04</v>
      </c>
      <c r="AW337">
        <v>639</v>
      </c>
      <c r="AX337">
        <v>35</v>
      </c>
      <c r="AY337">
        <v>520</v>
      </c>
      <c r="AZ337">
        <v>20</v>
      </c>
      <c r="BA337">
        <v>63</v>
      </c>
      <c r="BB337">
        <v>5</v>
      </c>
    </row>
    <row r="338" spans="1:54" x14ac:dyDescent="0.25">
      <c r="A338">
        <v>1897</v>
      </c>
      <c r="B338" t="s">
        <v>1018</v>
      </c>
      <c r="C338">
        <v>48.64</v>
      </c>
      <c r="D338">
        <v>0.54</v>
      </c>
      <c r="E338">
        <v>1.07</v>
      </c>
      <c r="F338">
        <v>0.03</v>
      </c>
      <c r="G338">
        <v>9.59</v>
      </c>
      <c r="H338">
        <v>0.28999999999999998</v>
      </c>
      <c r="I338">
        <v>0.3</v>
      </c>
      <c r="J338">
        <v>0.01</v>
      </c>
      <c r="K338">
        <v>17.04</v>
      </c>
      <c r="L338">
        <v>0.2</v>
      </c>
      <c r="M338">
        <v>0.19</v>
      </c>
      <c r="N338">
        <v>0.01</v>
      </c>
      <c r="O338">
        <v>5.57</v>
      </c>
      <c r="P338">
        <v>0.17</v>
      </c>
      <c r="Q338">
        <v>4.47</v>
      </c>
      <c r="R338">
        <v>0.06</v>
      </c>
      <c r="S338">
        <v>2.58</v>
      </c>
      <c r="T338">
        <v>0.14000000000000001</v>
      </c>
      <c r="U338">
        <v>1.04</v>
      </c>
      <c r="V338">
        <v>0.04</v>
      </c>
      <c r="W338">
        <v>0.73</v>
      </c>
      <c r="X338">
        <v>0.05</v>
      </c>
      <c r="Y338">
        <v>6.86</v>
      </c>
      <c r="Z338">
        <v>0.12</v>
      </c>
      <c r="AA338">
        <v>1.67</v>
      </c>
      <c r="AB338">
        <v>0.04</v>
      </c>
      <c r="AW338">
        <v>886</v>
      </c>
      <c r="AX338">
        <v>44</v>
      </c>
      <c r="AY338">
        <v>716</v>
      </c>
      <c r="AZ338">
        <v>24</v>
      </c>
      <c r="BA338">
        <v>20</v>
      </c>
      <c r="BB338">
        <v>5</v>
      </c>
    </row>
    <row r="339" spans="1:54" x14ac:dyDescent="0.25">
      <c r="A339">
        <v>1897</v>
      </c>
      <c r="B339" t="s">
        <v>1019</v>
      </c>
      <c r="C339">
        <v>43.11</v>
      </c>
      <c r="D339">
        <v>0.54</v>
      </c>
      <c r="E339">
        <v>1.01</v>
      </c>
      <c r="F339">
        <v>0.03</v>
      </c>
      <c r="G339">
        <v>9.39</v>
      </c>
      <c r="H339">
        <v>0.19</v>
      </c>
      <c r="I339">
        <v>0.56000000000000005</v>
      </c>
      <c r="J339">
        <v>0.01</v>
      </c>
      <c r="K339">
        <v>20.329999999999998</v>
      </c>
      <c r="L339">
        <v>0.26</v>
      </c>
      <c r="M339">
        <v>0.45</v>
      </c>
      <c r="N339">
        <v>0.01</v>
      </c>
      <c r="O339">
        <v>9.36</v>
      </c>
      <c r="P339">
        <v>0.25</v>
      </c>
      <c r="Q339">
        <v>7.38</v>
      </c>
      <c r="R339">
        <v>0.08</v>
      </c>
      <c r="S339">
        <v>2.59</v>
      </c>
      <c r="T339">
        <v>0.14000000000000001</v>
      </c>
      <c r="U339">
        <v>0.44</v>
      </c>
      <c r="V339">
        <v>0.02</v>
      </c>
      <c r="W339">
        <v>0.81</v>
      </c>
      <c r="X339">
        <v>0.05</v>
      </c>
      <c r="Y339">
        <v>3.85</v>
      </c>
      <c r="Z339">
        <v>0.08</v>
      </c>
      <c r="AA339">
        <v>0.57999999999999996</v>
      </c>
      <c r="AB339">
        <v>0.02</v>
      </c>
      <c r="AW339">
        <v>504</v>
      </c>
      <c r="AX339">
        <v>30</v>
      </c>
      <c r="AY339">
        <v>253</v>
      </c>
      <c r="AZ339">
        <v>10</v>
      </c>
      <c r="BA339">
        <v>24</v>
      </c>
      <c r="BB339">
        <v>5</v>
      </c>
    </row>
    <row r="340" spans="1:54" x14ac:dyDescent="0.25">
      <c r="A340">
        <v>1902</v>
      </c>
      <c r="B340" t="s">
        <v>1020</v>
      </c>
      <c r="C340">
        <v>43.72</v>
      </c>
      <c r="D340">
        <v>0.54</v>
      </c>
      <c r="E340">
        <v>0.93</v>
      </c>
      <c r="F340">
        <v>0.03</v>
      </c>
      <c r="G340">
        <v>9.6300000000000008</v>
      </c>
      <c r="H340">
        <v>0.28999999999999998</v>
      </c>
      <c r="I340">
        <v>0.5</v>
      </c>
      <c r="J340">
        <v>0.01</v>
      </c>
      <c r="K340">
        <v>19.88</v>
      </c>
      <c r="L340">
        <v>0.26</v>
      </c>
      <c r="M340">
        <v>0.43</v>
      </c>
      <c r="N340">
        <v>0.01</v>
      </c>
      <c r="O340">
        <v>9.44</v>
      </c>
      <c r="P340">
        <v>0.25</v>
      </c>
      <c r="Q340">
        <v>7.45</v>
      </c>
      <c r="R340">
        <v>0.08</v>
      </c>
      <c r="S340">
        <v>2.62</v>
      </c>
      <c r="T340">
        <v>0.14000000000000001</v>
      </c>
      <c r="U340">
        <v>0.45</v>
      </c>
      <c r="V340">
        <v>0.02</v>
      </c>
      <c r="W340">
        <v>0.79</v>
      </c>
      <c r="X340">
        <v>0.05</v>
      </c>
      <c r="Y340">
        <v>3.5</v>
      </c>
      <c r="Z340">
        <v>0.05</v>
      </c>
      <c r="AA340">
        <v>0.54</v>
      </c>
      <c r="AB340">
        <v>0.02</v>
      </c>
      <c r="AW340">
        <v>478</v>
      </c>
      <c r="AX340">
        <v>24</v>
      </c>
      <c r="AY340">
        <v>218</v>
      </c>
      <c r="AZ340">
        <v>10</v>
      </c>
      <c r="BA340">
        <v>30</v>
      </c>
      <c r="BB340">
        <v>5</v>
      </c>
    </row>
    <row r="341" spans="1:54" x14ac:dyDescent="0.25">
      <c r="A341">
        <v>1904</v>
      </c>
      <c r="B341" t="s">
        <v>1021</v>
      </c>
      <c r="C341">
        <v>49.4</v>
      </c>
      <c r="D341">
        <v>0.54</v>
      </c>
      <c r="E341">
        <v>0.91</v>
      </c>
      <c r="F341">
        <v>0.03</v>
      </c>
      <c r="G341">
        <v>9.73</v>
      </c>
      <c r="H341">
        <v>0.28999999999999998</v>
      </c>
      <c r="I341">
        <v>0.28999999999999998</v>
      </c>
      <c r="J341">
        <v>0.01</v>
      </c>
      <c r="K341">
        <v>16.78</v>
      </c>
      <c r="L341">
        <v>0.2</v>
      </c>
      <c r="M341">
        <v>0.1</v>
      </c>
      <c r="N341">
        <v>0.01</v>
      </c>
      <c r="O341">
        <v>5.42</v>
      </c>
      <c r="P341">
        <v>0.17</v>
      </c>
      <c r="Q341">
        <v>4.4000000000000004</v>
      </c>
      <c r="R341">
        <v>0.06</v>
      </c>
      <c r="S341">
        <v>2.84</v>
      </c>
      <c r="T341">
        <v>0.14000000000000001</v>
      </c>
      <c r="U341">
        <v>0.79</v>
      </c>
      <c r="V341">
        <v>0.02</v>
      </c>
      <c r="W341">
        <v>0.78</v>
      </c>
      <c r="X341">
        <v>0.05</v>
      </c>
      <c r="Y341">
        <v>7.16</v>
      </c>
      <c r="Z341">
        <v>0.12</v>
      </c>
      <c r="AA341">
        <v>1.17</v>
      </c>
      <c r="AB341">
        <v>0.03</v>
      </c>
      <c r="AW341">
        <v>878</v>
      </c>
      <c r="AX341">
        <v>44</v>
      </c>
      <c r="AY341">
        <v>812</v>
      </c>
      <c r="AZ341">
        <v>24</v>
      </c>
      <c r="BA341">
        <v>78</v>
      </c>
      <c r="BB341">
        <v>5</v>
      </c>
    </row>
    <row r="342" spans="1:54" x14ac:dyDescent="0.25">
      <c r="A342">
        <v>1904</v>
      </c>
      <c r="B342" t="s">
        <v>1022</v>
      </c>
      <c r="C342">
        <v>52.54</v>
      </c>
      <c r="D342">
        <v>0.54</v>
      </c>
      <c r="E342">
        <v>0.94</v>
      </c>
      <c r="F342">
        <v>0.03</v>
      </c>
      <c r="G342">
        <v>10.11</v>
      </c>
      <c r="H342">
        <v>0.28999999999999998</v>
      </c>
      <c r="I342">
        <v>0.32</v>
      </c>
      <c r="J342">
        <v>0.01</v>
      </c>
      <c r="K342">
        <v>15.91</v>
      </c>
      <c r="L342">
        <v>0.2</v>
      </c>
      <c r="M342">
        <v>0.09</v>
      </c>
      <c r="N342">
        <v>0.01</v>
      </c>
      <c r="O342">
        <v>5.1100000000000003</v>
      </c>
      <c r="P342">
        <v>0.17</v>
      </c>
      <c r="Q342">
        <v>3.6</v>
      </c>
      <c r="R342">
        <v>0.04</v>
      </c>
      <c r="S342">
        <v>2.62</v>
      </c>
      <c r="T342">
        <v>0.14000000000000001</v>
      </c>
      <c r="U342">
        <v>0.8</v>
      </c>
      <c r="V342">
        <v>0.02</v>
      </c>
      <c r="W342">
        <v>0.77</v>
      </c>
      <c r="X342">
        <v>0.05</v>
      </c>
      <c r="Y342">
        <v>5.66</v>
      </c>
      <c r="Z342">
        <v>0.08</v>
      </c>
      <c r="AA342">
        <v>1.24</v>
      </c>
      <c r="AB342">
        <v>0.02</v>
      </c>
      <c r="AW342">
        <v>1028</v>
      </c>
      <c r="AX342">
        <v>54</v>
      </c>
      <c r="AY342">
        <v>913</v>
      </c>
      <c r="AZ342">
        <v>30</v>
      </c>
      <c r="BA342">
        <v>86</v>
      </c>
      <c r="BB342">
        <v>5</v>
      </c>
    </row>
    <row r="343" spans="1:54" x14ac:dyDescent="0.25">
      <c r="A343">
        <v>1906</v>
      </c>
      <c r="B343" t="s">
        <v>1023</v>
      </c>
      <c r="C343">
        <v>49.26</v>
      </c>
      <c r="D343">
        <v>0.54</v>
      </c>
      <c r="E343">
        <v>1</v>
      </c>
      <c r="F343">
        <v>0.03</v>
      </c>
      <c r="G343">
        <v>9.5500000000000007</v>
      </c>
      <c r="H343">
        <v>0.28999999999999998</v>
      </c>
      <c r="I343">
        <v>0.28000000000000003</v>
      </c>
      <c r="J343">
        <v>0.01</v>
      </c>
      <c r="K343">
        <v>15.51</v>
      </c>
      <c r="L343">
        <v>0.2</v>
      </c>
      <c r="M343">
        <v>0.15</v>
      </c>
      <c r="N343">
        <v>0.01</v>
      </c>
      <c r="O343">
        <v>5.37</v>
      </c>
      <c r="P343">
        <v>0.17</v>
      </c>
      <c r="Q343">
        <v>4.6500000000000004</v>
      </c>
      <c r="R343">
        <v>0.06</v>
      </c>
      <c r="S343">
        <v>2.63</v>
      </c>
      <c r="T343">
        <v>0.14000000000000001</v>
      </c>
      <c r="U343">
        <v>1.02</v>
      </c>
      <c r="V343">
        <v>0.04</v>
      </c>
      <c r="W343">
        <v>0.7</v>
      </c>
      <c r="X343">
        <v>0.05</v>
      </c>
      <c r="Y343">
        <v>7.9</v>
      </c>
      <c r="Z343">
        <v>0.1</v>
      </c>
      <c r="AA343">
        <v>1.71</v>
      </c>
      <c r="AB343">
        <v>0.03</v>
      </c>
      <c r="AW343">
        <v>865</v>
      </c>
      <c r="AX343">
        <v>44</v>
      </c>
      <c r="AY343">
        <v>903</v>
      </c>
      <c r="AZ343">
        <v>30</v>
      </c>
      <c r="BA343">
        <v>100</v>
      </c>
      <c r="BB343">
        <v>5</v>
      </c>
    </row>
    <row r="344" spans="1:54" x14ac:dyDescent="0.25">
      <c r="A344">
        <v>1911</v>
      </c>
      <c r="B344" t="s">
        <v>1024</v>
      </c>
      <c r="C344">
        <v>48.93</v>
      </c>
      <c r="D344">
        <v>0.54</v>
      </c>
      <c r="E344">
        <v>0.89</v>
      </c>
      <c r="F344">
        <v>0.03</v>
      </c>
      <c r="G344">
        <v>9.4600000000000009</v>
      </c>
      <c r="H344">
        <v>0.28999999999999998</v>
      </c>
      <c r="I344">
        <v>0.28000000000000003</v>
      </c>
      <c r="J344">
        <v>0.01</v>
      </c>
      <c r="K344">
        <v>16.8</v>
      </c>
      <c r="L344">
        <v>0.2</v>
      </c>
      <c r="M344">
        <v>0.11</v>
      </c>
      <c r="N344">
        <v>0.01</v>
      </c>
      <c r="O344">
        <v>5.46</v>
      </c>
      <c r="P344">
        <v>0.17</v>
      </c>
      <c r="Q344">
        <v>4.76</v>
      </c>
      <c r="R344">
        <v>0.06</v>
      </c>
      <c r="S344">
        <v>2.63</v>
      </c>
      <c r="T344">
        <v>0.14000000000000001</v>
      </c>
      <c r="U344">
        <v>0.98</v>
      </c>
      <c r="V344">
        <v>0.04</v>
      </c>
      <c r="W344">
        <v>0.8</v>
      </c>
      <c r="X344">
        <v>0.05</v>
      </c>
      <c r="Y344">
        <v>7.61</v>
      </c>
      <c r="Z344">
        <v>0.1</v>
      </c>
      <c r="AA344">
        <v>0.99</v>
      </c>
      <c r="AB344">
        <v>0.02</v>
      </c>
      <c r="AW344">
        <v>898</v>
      </c>
      <c r="AX344">
        <v>44</v>
      </c>
      <c r="AY344">
        <v>1307</v>
      </c>
      <c r="AZ344">
        <v>40</v>
      </c>
      <c r="BA344">
        <v>54</v>
      </c>
      <c r="BB344">
        <v>5</v>
      </c>
    </row>
    <row r="345" spans="1:54" x14ac:dyDescent="0.25">
      <c r="A345">
        <v>1925</v>
      </c>
      <c r="B345" t="s">
        <v>1025</v>
      </c>
      <c r="C345">
        <v>48</v>
      </c>
      <c r="D345">
        <v>0.54</v>
      </c>
      <c r="E345">
        <v>0.96</v>
      </c>
      <c r="F345">
        <v>0.03</v>
      </c>
      <c r="G345">
        <v>9.41</v>
      </c>
      <c r="H345">
        <v>0.19</v>
      </c>
      <c r="I345">
        <v>0.3</v>
      </c>
      <c r="J345">
        <v>0.01</v>
      </c>
      <c r="K345">
        <v>16.52</v>
      </c>
      <c r="L345">
        <v>0.2</v>
      </c>
      <c r="M345">
        <v>0.17</v>
      </c>
      <c r="N345">
        <v>0.01</v>
      </c>
      <c r="O345">
        <v>6.07</v>
      </c>
      <c r="P345">
        <v>0.17</v>
      </c>
      <c r="Q345">
        <v>5.36</v>
      </c>
      <c r="R345">
        <v>0.06</v>
      </c>
      <c r="S345">
        <v>2.5099999999999998</v>
      </c>
      <c r="T345">
        <v>0.14000000000000001</v>
      </c>
      <c r="U345">
        <v>0.86</v>
      </c>
      <c r="V345">
        <v>0.04</v>
      </c>
      <c r="W345">
        <v>0.82</v>
      </c>
      <c r="X345">
        <v>0.05</v>
      </c>
      <c r="Y345">
        <v>7.6</v>
      </c>
      <c r="Z345">
        <v>0.1</v>
      </c>
      <c r="AA345">
        <v>1.1200000000000001</v>
      </c>
      <c r="AB345">
        <v>0.02</v>
      </c>
      <c r="AW345">
        <v>935</v>
      </c>
      <c r="AX345">
        <v>49</v>
      </c>
      <c r="AY345">
        <v>1068</v>
      </c>
      <c r="AZ345">
        <v>35</v>
      </c>
      <c r="BA345">
        <v>135</v>
      </c>
      <c r="BB345">
        <v>5</v>
      </c>
    </row>
    <row r="346" spans="1:54" x14ac:dyDescent="0.25">
      <c r="A346">
        <v>1927</v>
      </c>
      <c r="B346" t="s">
        <v>1026</v>
      </c>
      <c r="C346">
        <v>50.47</v>
      </c>
      <c r="D346">
        <v>0.54</v>
      </c>
      <c r="E346">
        <v>1</v>
      </c>
      <c r="F346">
        <v>0.03</v>
      </c>
      <c r="G346">
        <v>9.86</v>
      </c>
      <c r="H346">
        <v>0.28999999999999998</v>
      </c>
      <c r="I346">
        <v>0.28000000000000003</v>
      </c>
      <c r="J346">
        <v>0.01</v>
      </c>
      <c r="K346">
        <v>15.71</v>
      </c>
      <c r="L346">
        <v>0.2</v>
      </c>
      <c r="M346">
        <v>0.2</v>
      </c>
      <c r="N346">
        <v>0.01</v>
      </c>
      <c r="O346">
        <v>6.44</v>
      </c>
      <c r="P346">
        <v>0.17</v>
      </c>
      <c r="Q346">
        <v>3.8</v>
      </c>
      <c r="R346">
        <v>0.04</v>
      </c>
      <c r="S346">
        <v>2.54</v>
      </c>
      <c r="T346">
        <v>0.14000000000000001</v>
      </c>
      <c r="U346">
        <v>1</v>
      </c>
      <c r="V346">
        <v>0.04</v>
      </c>
      <c r="W346">
        <v>0.75</v>
      </c>
      <c r="X346">
        <v>0.05</v>
      </c>
      <c r="Y346">
        <v>6.47</v>
      </c>
      <c r="Z346">
        <v>0.08</v>
      </c>
      <c r="AA346">
        <v>1.17</v>
      </c>
      <c r="AB346">
        <v>0.02</v>
      </c>
      <c r="AW346">
        <v>967</v>
      </c>
      <c r="AX346">
        <v>49</v>
      </c>
      <c r="AY346">
        <v>1159</v>
      </c>
      <c r="AZ346">
        <v>35</v>
      </c>
      <c r="BA346">
        <v>100</v>
      </c>
      <c r="BB346">
        <v>5</v>
      </c>
    </row>
    <row r="347" spans="1:54" x14ac:dyDescent="0.25">
      <c r="A347">
        <v>1929</v>
      </c>
      <c r="B347" t="s">
        <v>1027</v>
      </c>
      <c r="C347">
        <v>54.26</v>
      </c>
      <c r="D347">
        <v>0.64</v>
      </c>
      <c r="E347">
        <v>1.01</v>
      </c>
      <c r="F347">
        <v>0.03</v>
      </c>
      <c r="G347">
        <v>10.64</v>
      </c>
      <c r="H347">
        <v>0.28999999999999998</v>
      </c>
      <c r="I347">
        <v>0.32</v>
      </c>
      <c r="J347">
        <v>0.01</v>
      </c>
      <c r="K347">
        <v>16.43</v>
      </c>
      <c r="L347">
        <v>0.2</v>
      </c>
      <c r="M347">
        <v>0.16</v>
      </c>
      <c r="N347">
        <v>0.01</v>
      </c>
      <c r="O347">
        <v>5.41</v>
      </c>
      <c r="P347">
        <v>0.17</v>
      </c>
      <c r="Q347">
        <v>3.03</v>
      </c>
      <c r="R347">
        <v>0.04</v>
      </c>
      <c r="S347">
        <v>2.8</v>
      </c>
      <c r="T347">
        <v>0.14000000000000001</v>
      </c>
      <c r="U347">
        <v>1.07</v>
      </c>
      <c r="V347">
        <v>0.04</v>
      </c>
      <c r="W347">
        <v>0.65</v>
      </c>
      <c r="X347">
        <v>0.05</v>
      </c>
      <c r="Y347">
        <v>3.12</v>
      </c>
      <c r="Z347">
        <v>0.05</v>
      </c>
      <c r="AA347">
        <v>0.85</v>
      </c>
      <c r="AB347">
        <v>0.02</v>
      </c>
      <c r="AW347">
        <v>904</v>
      </c>
      <c r="AX347">
        <v>49</v>
      </c>
      <c r="AY347">
        <v>817</v>
      </c>
      <c r="AZ347">
        <v>24</v>
      </c>
      <c r="BA347">
        <v>21</v>
      </c>
      <c r="BB347">
        <v>5</v>
      </c>
    </row>
    <row r="348" spans="1:54" x14ac:dyDescent="0.25">
      <c r="A348">
        <v>1931</v>
      </c>
      <c r="B348" t="s">
        <v>1028</v>
      </c>
      <c r="C348">
        <v>51.72</v>
      </c>
      <c r="D348">
        <v>0.54</v>
      </c>
      <c r="E348">
        <v>1</v>
      </c>
      <c r="F348">
        <v>0.03</v>
      </c>
      <c r="G348">
        <v>9.92</v>
      </c>
      <c r="H348">
        <v>0.28999999999999998</v>
      </c>
      <c r="I348">
        <v>0.3</v>
      </c>
      <c r="J348">
        <v>0.01</v>
      </c>
      <c r="K348">
        <v>14.25</v>
      </c>
      <c r="L348">
        <v>0.2</v>
      </c>
      <c r="M348">
        <v>0.11</v>
      </c>
      <c r="N348">
        <v>0.01</v>
      </c>
      <c r="O348">
        <v>4.03</v>
      </c>
      <c r="P348">
        <v>0.08</v>
      </c>
      <c r="Q348">
        <v>4.54</v>
      </c>
      <c r="R348">
        <v>0.06</v>
      </c>
      <c r="S348">
        <v>2.58</v>
      </c>
      <c r="T348">
        <v>0.14000000000000001</v>
      </c>
      <c r="U348">
        <v>0.94</v>
      </c>
      <c r="V348">
        <v>0.04</v>
      </c>
      <c r="W348">
        <v>0.89</v>
      </c>
      <c r="X348">
        <v>0.05</v>
      </c>
      <c r="Y348">
        <v>7.91</v>
      </c>
      <c r="Z348">
        <v>0.1</v>
      </c>
      <c r="AA348">
        <v>1.57</v>
      </c>
      <c r="AB348">
        <v>0.03</v>
      </c>
      <c r="AW348">
        <v>833</v>
      </c>
      <c r="AX348">
        <v>44</v>
      </c>
      <c r="AY348">
        <v>665</v>
      </c>
      <c r="AZ348">
        <v>20</v>
      </c>
      <c r="BA348">
        <v>164</v>
      </c>
      <c r="BB348">
        <v>5</v>
      </c>
    </row>
    <row r="349" spans="1:54" x14ac:dyDescent="0.25">
      <c r="A349">
        <v>1932</v>
      </c>
      <c r="B349" t="s">
        <v>1029</v>
      </c>
      <c r="C349">
        <v>52.34</v>
      </c>
      <c r="D349">
        <v>0.54</v>
      </c>
      <c r="E349">
        <v>1.0900000000000001</v>
      </c>
      <c r="F349">
        <v>0.03</v>
      </c>
      <c r="G349">
        <v>10.48</v>
      </c>
      <c r="H349">
        <v>0.28999999999999998</v>
      </c>
      <c r="I349">
        <v>0.36</v>
      </c>
      <c r="J349">
        <v>0.01</v>
      </c>
      <c r="K349">
        <v>10.17</v>
      </c>
      <c r="L349">
        <v>0.13</v>
      </c>
      <c r="M349">
        <v>0.21</v>
      </c>
      <c r="N349">
        <v>0.01</v>
      </c>
      <c r="O349">
        <v>6.57</v>
      </c>
      <c r="P349">
        <v>0.17</v>
      </c>
      <c r="Q349">
        <v>4.21</v>
      </c>
      <c r="R349">
        <v>0.06</v>
      </c>
      <c r="S349">
        <v>3.26</v>
      </c>
      <c r="T349">
        <v>0.14000000000000001</v>
      </c>
      <c r="U349">
        <v>0.97</v>
      </c>
      <c r="V349">
        <v>0.04</v>
      </c>
      <c r="W349">
        <v>1.07</v>
      </c>
      <c r="X349">
        <v>7.0000000000000007E-2</v>
      </c>
      <c r="Y349">
        <v>7.22</v>
      </c>
      <c r="Z349">
        <v>0.1</v>
      </c>
      <c r="AA349">
        <v>1.68</v>
      </c>
      <c r="AB349">
        <v>0.03</v>
      </c>
      <c r="AW349">
        <v>1832</v>
      </c>
      <c r="AX349">
        <v>94</v>
      </c>
      <c r="AY349">
        <v>688</v>
      </c>
      <c r="AZ349">
        <v>24</v>
      </c>
      <c r="BA349">
        <v>217</v>
      </c>
      <c r="BB349">
        <v>10</v>
      </c>
    </row>
    <row r="350" spans="1:54" x14ac:dyDescent="0.25">
      <c r="A350">
        <v>1934</v>
      </c>
      <c r="B350" t="s">
        <v>1030</v>
      </c>
      <c r="C350">
        <v>47.64</v>
      </c>
      <c r="D350">
        <v>0.54</v>
      </c>
      <c r="E350">
        <v>0.91</v>
      </c>
      <c r="F350">
        <v>0.03</v>
      </c>
      <c r="G350">
        <v>9.35</v>
      </c>
      <c r="H350">
        <v>0.19</v>
      </c>
      <c r="I350">
        <v>0.25</v>
      </c>
      <c r="J350">
        <v>0.01</v>
      </c>
      <c r="K350">
        <v>19.59</v>
      </c>
      <c r="L350">
        <v>0.26</v>
      </c>
      <c r="M350">
        <v>7.0000000000000007E-2</v>
      </c>
      <c r="N350">
        <v>0.01</v>
      </c>
      <c r="O350">
        <v>5.41</v>
      </c>
      <c r="P350">
        <v>0.17</v>
      </c>
      <c r="Q350">
        <v>3.9</v>
      </c>
      <c r="R350">
        <v>0.04</v>
      </c>
      <c r="S350">
        <v>2.61</v>
      </c>
      <c r="T350">
        <v>0.14000000000000001</v>
      </c>
      <c r="U350">
        <v>0.85</v>
      </c>
      <c r="V350">
        <v>0.04</v>
      </c>
      <c r="W350">
        <v>0.7</v>
      </c>
      <c r="X350">
        <v>0.05</v>
      </c>
      <c r="Y350">
        <v>6.89</v>
      </c>
      <c r="Z350">
        <v>0.1</v>
      </c>
      <c r="AA350">
        <v>1.52</v>
      </c>
      <c r="AB350">
        <v>0.03</v>
      </c>
      <c r="AW350">
        <v>1292</v>
      </c>
      <c r="AX350">
        <v>65</v>
      </c>
      <c r="AY350">
        <v>786</v>
      </c>
      <c r="AZ350">
        <v>24</v>
      </c>
      <c r="BA350">
        <v>155</v>
      </c>
      <c r="BB350">
        <v>5</v>
      </c>
    </row>
    <row r="351" spans="1:54" x14ac:dyDescent="0.25">
      <c r="A351">
        <v>1934</v>
      </c>
      <c r="B351" t="s">
        <v>1031</v>
      </c>
      <c r="C351">
        <v>50.78</v>
      </c>
      <c r="D351">
        <v>0.54</v>
      </c>
      <c r="E351">
        <v>0.96</v>
      </c>
      <c r="F351">
        <v>0.03</v>
      </c>
      <c r="G351">
        <v>9.65</v>
      </c>
      <c r="H351">
        <v>0.28999999999999998</v>
      </c>
      <c r="I351">
        <v>0.31</v>
      </c>
      <c r="J351">
        <v>0.01</v>
      </c>
      <c r="K351">
        <v>14.12</v>
      </c>
      <c r="L351">
        <v>0.2</v>
      </c>
      <c r="M351">
        <v>0.1</v>
      </c>
      <c r="N351">
        <v>0.01</v>
      </c>
      <c r="O351">
        <v>4.0599999999999996</v>
      </c>
      <c r="P351">
        <v>0.08</v>
      </c>
      <c r="Q351">
        <v>4.9800000000000004</v>
      </c>
      <c r="R351">
        <v>0.06</v>
      </c>
      <c r="S351">
        <v>2.46</v>
      </c>
      <c r="T351">
        <v>0.14000000000000001</v>
      </c>
      <c r="U351">
        <v>0.95</v>
      </c>
      <c r="V351">
        <v>0.04</v>
      </c>
      <c r="W351">
        <v>0.74</v>
      </c>
      <c r="X351">
        <v>0.05</v>
      </c>
      <c r="Y351">
        <v>9.02</v>
      </c>
      <c r="Z351">
        <v>0.1</v>
      </c>
      <c r="AA351">
        <v>1.62</v>
      </c>
      <c r="AB351">
        <v>0.02</v>
      </c>
      <c r="AW351">
        <v>925</v>
      </c>
      <c r="AX351">
        <v>49</v>
      </c>
      <c r="AY351">
        <v>644</v>
      </c>
      <c r="AZ351">
        <v>20</v>
      </c>
      <c r="BA351">
        <v>148</v>
      </c>
      <c r="BB351">
        <v>5</v>
      </c>
    </row>
    <row r="352" spans="1:54" x14ac:dyDescent="0.25">
      <c r="A352">
        <v>1937</v>
      </c>
      <c r="B352" t="s">
        <v>1032</v>
      </c>
      <c r="C352">
        <v>37.03</v>
      </c>
      <c r="D352">
        <v>0.43</v>
      </c>
      <c r="E352">
        <v>0.79</v>
      </c>
      <c r="F352">
        <v>0.03</v>
      </c>
      <c r="G352">
        <v>7.16</v>
      </c>
      <c r="H352">
        <v>0.19</v>
      </c>
      <c r="I352">
        <v>0.28000000000000003</v>
      </c>
      <c r="J352">
        <v>0.01</v>
      </c>
      <c r="K352">
        <v>12.2</v>
      </c>
      <c r="L352">
        <v>0.13</v>
      </c>
      <c r="M352">
        <v>0.13</v>
      </c>
      <c r="N352">
        <v>0.01</v>
      </c>
      <c r="O352">
        <v>4.3899999999999997</v>
      </c>
      <c r="P352">
        <v>0.17</v>
      </c>
      <c r="Q352">
        <v>12.3</v>
      </c>
      <c r="R352">
        <v>0.13</v>
      </c>
      <c r="S352">
        <v>2.0699999999999998</v>
      </c>
      <c r="T352">
        <v>7.0000000000000007E-2</v>
      </c>
      <c r="U352">
        <v>0.56000000000000005</v>
      </c>
      <c r="V352">
        <v>0.02</v>
      </c>
      <c r="W352">
        <v>0.72</v>
      </c>
      <c r="X352">
        <v>0.05</v>
      </c>
      <c r="Y352">
        <v>21.08</v>
      </c>
      <c r="Z352">
        <v>0.22</v>
      </c>
      <c r="AA352">
        <v>1.08</v>
      </c>
      <c r="AB352">
        <v>0.02</v>
      </c>
      <c r="AW352">
        <v>581</v>
      </c>
      <c r="AX352">
        <v>30</v>
      </c>
      <c r="AY352">
        <v>485</v>
      </c>
      <c r="AZ352">
        <v>15</v>
      </c>
      <c r="BA352">
        <v>135</v>
      </c>
      <c r="BB352">
        <v>5</v>
      </c>
    </row>
    <row r="353" spans="1:54" x14ac:dyDescent="0.25">
      <c r="A353">
        <v>1938</v>
      </c>
      <c r="B353" t="s">
        <v>1033</v>
      </c>
      <c r="C353">
        <v>47.65</v>
      </c>
      <c r="D353">
        <v>0.54</v>
      </c>
      <c r="E353">
        <v>0.92</v>
      </c>
      <c r="F353">
        <v>0.03</v>
      </c>
      <c r="G353">
        <v>9.1999999999999993</v>
      </c>
      <c r="H353">
        <v>0.19</v>
      </c>
      <c r="I353">
        <v>0.27</v>
      </c>
      <c r="J353">
        <v>0.01</v>
      </c>
      <c r="K353">
        <v>16.899999999999999</v>
      </c>
      <c r="L353">
        <v>0.2</v>
      </c>
      <c r="M353">
        <v>0.1</v>
      </c>
      <c r="N353">
        <v>0.01</v>
      </c>
      <c r="O353">
        <v>6.08</v>
      </c>
      <c r="P353">
        <v>0.17</v>
      </c>
      <c r="Q353">
        <v>4.47</v>
      </c>
      <c r="R353">
        <v>0.06</v>
      </c>
      <c r="S353">
        <v>2.67</v>
      </c>
      <c r="T353">
        <v>0.14000000000000001</v>
      </c>
      <c r="U353">
        <v>0.86</v>
      </c>
      <c r="V353">
        <v>0.04</v>
      </c>
      <c r="W353">
        <v>0.99</v>
      </c>
      <c r="X353">
        <v>7.0000000000000007E-2</v>
      </c>
      <c r="Y353">
        <v>8.1300000000000008</v>
      </c>
      <c r="Z353">
        <v>0.1</v>
      </c>
      <c r="AA353">
        <v>1.42</v>
      </c>
      <c r="AB353">
        <v>0.02</v>
      </c>
      <c r="AW353">
        <v>1767</v>
      </c>
      <c r="AX353">
        <v>89</v>
      </c>
      <c r="AY353">
        <v>694</v>
      </c>
      <c r="AZ353">
        <v>24</v>
      </c>
      <c r="BA353">
        <v>151</v>
      </c>
      <c r="BB353">
        <v>5</v>
      </c>
    </row>
    <row r="354" spans="1:54" x14ac:dyDescent="0.25">
      <c r="A354">
        <v>1940</v>
      </c>
      <c r="B354" t="s">
        <v>1034</v>
      </c>
      <c r="C354">
        <v>50.55</v>
      </c>
      <c r="D354">
        <v>0.54</v>
      </c>
      <c r="E354">
        <v>1.1599999999999999</v>
      </c>
      <c r="F354">
        <v>0.05</v>
      </c>
      <c r="G354">
        <v>10.25</v>
      </c>
      <c r="H354">
        <v>0.28999999999999998</v>
      </c>
      <c r="I354">
        <v>0.35</v>
      </c>
      <c r="J354">
        <v>0.01</v>
      </c>
      <c r="K354">
        <v>15.76</v>
      </c>
      <c r="L354">
        <v>0.2</v>
      </c>
      <c r="M354">
        <v>0.12</v>
      </c>
      <c r="N354">
        <v>0.01</v>
      </c>
      <c r="O354">
        <v>6.16</v>
      </c>
      <c r="P354">
        <v>0.17</v>
      </c>
      <c r="Q354">
        <v>4.22</v>
      </c>
      <c r="R354">
        <v>0.06</v>
      </c>
      <c r="S354">
        <v>2.56</v>
      </c>
      <c r="T354">
        <v>0.14000000000000001</v>
      </c>
      <c r="U354">
        <v>1.02</v>
      </c>
      <c r="V354">
        <v>0.04</v>
      </c>
      <c r="W354">
        <v>0.81</v>
      </c>
      <c r="X354">
        <v>0.05</v>
      </c>
      <c r="Y354">
        <v>5.26</v>
      </c>
      <c r="Z354">
        <v>0.08</v>
      </c>
      <c r="AA354">
        <v>1.44</v>
      </c>
      <c r="AB354">
        <v>0.03</v>
      </c>
      <c r="AW354">
        <v>1023</v>
      </c>
      <c r="AX354">
        <v>54</v>
      </c>
      <c r="AY354">
        <v>1222</v>
      </c>
      <c r="AZ354">
        <v>40</v>
      </c>
      <c r="BA354">
        <v>87</v>
      </c>
      <c r="BB354">
        <v>5</v>
      </c>
    </row>
    <row r="355" spans="1:54" x14ac:dyDescent="0.25">
      <c r="A355">
        <v>1943</v>
      </c>
      <c r="B355" t="s">
        <v>1035</v>
      </c>
      <c r="C355">
        <v>49.11</v>
      </c>
      <c r="D355">
        <v>0.54</v>
      </c>
      <c r="E355">
        <v>0.95</v>
      </c>
      <c r="F355">
        <v>0.03</v>
      </c>
      <c r="G355">
        <v>9.3800000000000008</v>
      </c>
      <c r="H355">
        <v>0.19</v>
      </c>
      <c r="I355">
        <v>0.28999999999999998</v>
      </c>
      <c r="J355">
        <v>0.01</v>
      </c>
      <c r="K355">
        <v>17.3</v>
      </c>
      <c r="L355">
        <v>0.2</v>
      </c>
      <c r="M355">
        <v>0.27</v>
      </c>
      <c r="N355">
        <v>0.01</v>
      </c>
      <c r="O355">
        <v>6.49</v>
      </c>
      <c r="P355">
        <v>0.17</v>
      </c>
      <c r="Q355">
        <v>4.37</v>
      </c>
      <c r="R355">
        <v>0.06</v>
      </c>
      <c r="S355">
        <v>2.41</v>
      </c>
      <c r="T355">
        <v>0.14000000000000001</v>
      </c>
      <c r="U355">
        <v>0.75</v>
      </c>
      <c r="V355">
        <v>0.02</v>
      </c>
      <c r="W355">
        <v>0.62</v>
      </c>
      <c r="X355">
        <v>0.05</v>
      </c>
      <c r="Y355">
        <v>6.48</v>
      </c>
      <c r="Z355">
        <v>0.08</v>
      </c>
      <c r="AA355">
        <v>1.29</v>
      </c>
      <c r="AB355">
        <v>0.02</v>
      </c>
      <c r="AW355">
        <v>904</v>
      </c>
      <c r="AX355">
        <v>49</v>
      </c>
      <c r="AY355">
        <v>1121</v>
      </c>
      <c r="AZ355">
        <v>35</v>
      </c>
      <c r="BA355">
        <v>125</v>
      </c>
      <c r="BB355">
        <v>5</v>
      </c>
    </row>
    <row r="356" spans="1:54" x14ac:dyDescent="0.25">
      <c r="A356">
        <v>1945</v>
      </c>
      <c r="B356" t="s">
        <v>1036</v>
      </c>
      <c r="C356">
        <v>50.46</v>
      </c>
      <c r="D356">
        <v>0.54</v>
      </c>
      <c r="E356">
        <v>1.06</v>
      </c>
      <c r="F356">
        <v>0.03</v>
      </c>
      <c r="G356">
        <v>9.9</v>
      </c>
      <c r="H356">
        <v>0.28999999999999998</v>
      </c>
      <c r="I356">
        <v>0.34</v>
      </c>
      <c r="J356">
        <v>0.01</v>
      </c>
      <c r="K356">
        <v>17.170000000000002</v>
      </c>
      <c r="L356">
        <v>0.2</v>
      </c>
      <c r="M356">
        <v>0.11</v>
      </c>
      <c r="N356">
        <v>0.01</v>
      </c>
      <c r="O356">
        <v>4.91</v>
      </c>
      <c r="P356">
        <v>0.17</v>
      </c>
      <c r="Q356">
        <v>4.4000000000000004</v>
      </c>
      <c r="R356">
        <v>0.06</v>
      </c>
      <c r="S356">
        <v>2.4900000000000002</v>
      </c>
      <c r="T356">
        <v>0.14000000000000001</v>
      </c>
      <c r="U356">
        <v>0.83</v>
      </c>
      <c r="V356">
        <v>0.04</v>
      </c>
      <c r="W356">
        <v>0.84</v>
      </c>
      <c r="X356">
        <v>0.05</v>
      </c>
      <c r="Y356">
        <v>5.88</v>
      </c>
      <c r="Z356">
        <v>0.1</v>
      </c>
      <c r="AA356">
        <v>1.33</v>
      </c>
      <c r="AB356">
        <v>0.03</v>
      </c>
      <c r="AW356">
        <v>869</v>
      </c>
      <c r="AX356">
        <v>44</v>
      </c>
      <c r="AY356">
        <v>397</v>
      </c>
      <c r="AZ356">
        <v>15</v>
      </c>
      <c r="BA356">
        <v>140</v>
      </c>
      <c r="BB356">
        <v>10</v>
      </c>
    </row>
    <row r="357" spans="1:54" x14ac:dyDescent="0.25">
      <c r="A357">
        <v>1947</v>
      </c>
      <c r="B357" t="s">
        <v>1037</v>
      </c>
      <c r="C357">
        <v>49.51</v>
      </c>
      <c r="D357">
        <v>0.54</v>
      </c>
      <c r="E357">
        <v>1.1000000000000001</v>
      </c>
      <c r="F357">
        <v>0.03</v>
      </c>
      <c r="G357">
        <v>9.6199999999999992</v>
      </c>
      <c r="H357">
        <v>0.28999999999999998</v>
      </c>
      <c r="I357">
        <v>0.33</v>
      </c>
      <c r="J357">
        <v>0.01</v>
      </c>
      <c r="K357">
        <v>18.23</v>
      </c>
      <c r="L357">
        <v>0.2</v>
      </c>
      <c r="M357">
        <v>0.1</v>
      </c>
      <c r="N357">
        <v>0.01</v>
      </c>
      <c r="O357">
        <v>5.98</v>
      </c>
      <c r="P357">
        <v>0.17</v>
      </c>
      <c r="Q357">
        <v>3.99</v>
      </c>
      <c r="R357">
        <v>0.04</v>
      </c>
      <c r="S357">
        <v>2.62</v>
      </c>
      <c r="T357">
        <v>0.14000000000000001</v>
      </c>
      <c r="U357">
        <v>0.72</v>
      </c>
      <c r="V357">
        <v>0.02</v>
      </c>
      <c r="W357">
        <v>0.72</v>
      </c>
      <c r="X357">
        <v>0.05</v>
      </c>
      <c r="Y357">
        <v>5.28</v>
      </c>
      <c r="Z357">
        <v>0.1</v>
      </c>
      <c r="AA357">
        <v>1.55</v>
      </c>
      <c r="AB357">
        <v>0.03</v>
      </c>
      <c r="AW357">
        <v>891</v>
      </c>
      <c r="AX357">
        <v>44</v>
      </c>
      <c r="AY357">
        <v>781</v>
      </c>
      <c r="AZ357">
        <v>24</v>
      </c>
      <c r="BA357">
        <v>157</v>
      </c>
      <c r="BB357">
        <v>5</v>
      </c>
    </row>
    <row r="358" spans="1:54" x14ac:dyDescent="0.25">
      <c r="A358">
        <v>1947</v>
      </c>
      <c r="B358" t="s">
        <v>1038</v>
      </c>
      <c r="C358">
        <v>48.72</v>
      </c>
      <c r="D358">
        <v>0.54</v>
      </c>
      <c r="E358">
        <v>1.1000000000000001</v>
      </c>
      <c r="F358">
        <v>0.03</v>
      </c>
      <c r="G358">
        <v>9.6199999999999992</v>
      </c>
      <c r="H358">
        <v>0.28999999999999998</v>
      </c>
      <c r="I358">
        <v>0.33</v>
      </c>
      <c r="J358">
        <v>0.01</v>
      </c>
      <c r="K358">
        <v>19.16</v>
      </c>
      <c r="L358">
        <v>0.2</v>
      </c>
      <c r="M358">
        <v>0.09</v>
      </c>
      <c r="N358">
        <v>0.01</v>
      </c>
      <c r="O358">
        <v>5.81</v>
      </c>
      <c r="P358">
        <v>0.17</v>
      </c>
      <c r="Q358">
        <v>3.55</v>
      </c>
      <c r="R358">
        <v>0.04</v>
      </c>
      <c r="S358">
        <v>2.56</v>
      </c>
      <c r="T358">
        <v>0.14000000000000001</v>
      </c>
      <c r="U358">
        <v>0.79</v>
      </c>
      <c r="V358">
        <v>0.02</v>
      </c>
      <c r="W358">
        <v>0.8</v>
      </c>
      <c r="X358">
        <v>0.05</v>
      </c>
      <c r="Y358">
        <v>5.54</v>
      </c>
      <c r="Z358">
        <v>0.08</v>
      </c>
      <c r="AA358">
        <v>1.67</v>
      </c>
      <c r="AB358">
        <v>0.02</v>
      </c>
      <c r="AW358">
        <v>899</v>
      </c>
      <c r="AX358">
        <v>44</v>
      </c>
      <c r="AY358">
        <v>838</v>
      </c>
      <c r="AZ358">
        <v>30</v>
      </c>
      <c r="BA358">
        <v>77</v>
      </c>
      <c r="BB358">
        <v>5</v>
      </c>
    </row>
    <row r="359" spans="1:54" x14ac:dyDescent="0.25">
      <c r="A359">
        <v>1954</v>
      </c>
      <c r="B359" t="s">
        <v>1039</v>
      </c>
      <c r="C359">
        <v>48.26</v>
      </c>
      <c r="D359">
        <v>0.54</v>
      </c>
      <c r="E359">
        <v>1</v>
      </c>
      <c r="F359">
        <v>0.03</v>
      </c>
      <c r="G359">
        <v>9.23</v>
      </c>
      <c r="H359">
        <v>0.19</v>
      </c>
      <c r="I359">
        <v>0.31</v>
      </c>
      <c r="J359">
        <v>0.03</v>
      </c>
      <c r="K359">
        <v>17.809999999999999</v>
      </c>
      <c r="L359">
        <v>0.2</v>
      </c>
      <c r="M359">
        <v>0.1</v>
      </c>
      <c r="N359">
        <v>0.01</v>
      </c>
      <c r="O359">
        <v>5.73</v>
      </c>
      <c r="P359">
        <v>0.17</v>
      </c>
      <c r="Q359">
        <v>4.41</v>
      </c>
      <c r="R359">
        <v>0.06</v>
      </c>
      <c r="S359">
        <v>2.62</v>
      </c>
      <c r="T359">
        <v>0.14000000000000001</v>
      </c>
      <c r="U359">
        <v>0.98</v>
      </c>
      <c r="V359">
        <v>0.04</v>
      </c>
      <c r="W359">
        <v>0.73</v>
      </c>
      <c r="X359">
        <v>0.05</v>
      </c>
      <c r="Y359">
        <v>6.95</v>
      </c>
      <c r="Z359">
        <v>0.15</v>
      </c>
      <c r="AA359">
        <v>1.59</v>
      </c>
      <c r="AB359">
        <v>0.04</v>
      </c>
      <c r="AW359">
        <v>1019</v>
      </c>
      <c r="AX359">
        <v>54</v>
      </c>
      <c r="AY359">
        <v>751</v>
      </c>
      <c r="AZ359">
        <v>24</v>
      </c>
      <c r="BA359">
        <v>136</v>
      </c>
      <c r="BB359">
        <v>10</v>
      </c>
    </row>
    <row r="360" spans="1:54" x14ac:dyDescent="0.25">
      <c r="A360">
        <v>1954</v>
      </c>
      <c r="B360" t="s">
        <v>1040</v>
      </c>
      <c r="C360">
        <v>48.74</v>
      </c>
      <c r="D360">
        <v>0.54</v>
      </c>
      <c r="E360">
        <v>1.06</v>
      </c>
      <c r="F360">
        <v>0.03</v>
      </c>
      <c r="G360">
        <v>9.27</v>
      </c>
      <c r="H360">
        <v>0.19</v>
      </c>
      <c r="I360">
        <v>0.3</v>
      </c>
      <c r="J360">
        <v>0.01</v>
      </c>
      <c r="K360">
        <v>17.920000000000002</v>
      </c>
      <c r="L360">
        <v>0.2</v>
      </c>
      <c r="M360">
        <v>0.12</v>
      </c>
      <c r="N360">
        <v>0.01</v>
      </c>
      <c r="O360">
        <v>5.55</v>
      </c>
      <c r="P360">
        <v>0.17</v>
      </c>
      <c r="Q360">
        <v>4.29</v>
      </c>
      <c r="R360">
        <v>0.06</v>
      </c>
      <c r="S360">
        <v>2.65</v>
      </c>
      <c r="T360">
        <v>0.14000000000000001</v>
      </c>
      <c r="U360">
        <v>0.99</v>
      </c>
      <c r="V360">
        <v>0.04</v>
      </c>
      <c r="W360">
        <v>0.73</v>
      </c>
      <c r="X360">
        <v>0.05</v>
      </c>
      <c r="Y360">
        <v>6.4</v>
      </c>
      <c r="Z360">
        <v>0.08</v>
      </c>
      <c r="AA360">
        <v>1.71</v>
      </c>
      <c r="AB360">
        <v>0.03</v>
      </c>
      <c r="AW360">
        <v>1088</v>
      </c>
      <c r="AX360">
        <v>54</v>
      </c>
      <c r="AY360">
        <v>781</v>
      </c>
      <c r="AZ360">
        <v>24</v>
      </c>
      <c r="BA360">
        <v>108</v>
      </c>
      <c r="BB360">
        <v>5</v>
      </c>
    </row>
    <row r="361" spans="1:54" x14ac:dyDescent="0.25">
      <c r="A361">
        <v>1959</v>
      </c>
      <c r="B361" t="s">
        <v>1041</v>
      </c>
      <c r="C361">
        <v>47.59</v>
      </c>
      <c r="D361">
        <v>0.54</v>
      </c>
      <c r="E361">
        <v>1.1499999999999999</v>
      </c>
      <c r="F361">
        <v>0.05</v>
      </c>
      <c r="G361">
        <v>9.44</v>
      </c>
      <c r="H361">
        <v>0.19</v>
      </c>
      <c r="I361">
        <v>0.3</v>
      </c>
      <c r="J361">
        <v>0.03</v>
      </c>
      <c r="K361">
        <v>18.510000000000002</v>
      </c>
      <c r="L361">
        <v>0.2</v>
      </c>
      <c r="M361">
        <v>0.12</v>
      </c>
      <c r="N361">
        <v>0.01</v>
      </c>
      <c r="O361">
        <v>5.59</v>
      </c>
      <c r="P361">
        <v>0.17</v>
      </c>
      <c r="Q361">
        <v>4.24</v>
      </c>
      <c r="R361">
        <v>0.06</v>
      </c>
      <c r="S361">
        <v>2.5</v>
      </c>
      <c r="T361">
        <v>0.14000000000000001</v>
      </c>
      <c r="U361">
        <v>1.05</v>
      </c>
      <c r="V361">
        <v>0.04</v>
      </c>
      <c r="W361">
        <v>0.75</v>
      </c>
      <c r="X361">
        <v>0.05</v>
      </c>
      <c r="Y361">
        <v>6.8</v>
      </c>
      <c r="Z361">
        <v>0.15</v>
      </c>
      <c r="AA361">
        <v>1.71</v>
      </c>
      <c r="AB361">
        <v>0.04</v>
      </c>
      <c r="AW361">
        <v>1004</v>
      </c>
      <c r="AX361">
        <v>54</v>
      </c>
      <c r="AY361">
        <v>869</v>
      </c>
      <c r="AZ361">
        <v>30</v>
      </c>
      <c r="BA361">
        <v>120</v>
      </c>
      <c r="BB361">
        <v>10</v>
      </c>
    </row>
    <row r="362" spans="1:54" x14ac:dyDescent="0.25">
      <c r="A362">
        <v>1963</v>
      </c>
      <c r="B362" t="s">
        <v>1042</v>
      </c>
      <c r="C362">
        <v>46.99</v>
      </c>
      <c r="D362">
        <v>0.54</v>
      </c>
      <c r="E362">
        <v>0.84</v>
      </c>
      <c r="F362">
        <v>0.03</v>
      </c>
      <c r="G362">
        <v>9.15</v>
      </c>
      <c r="H362">
        <v>0.19</v>
      </c>
      <c r="I362">
        <v>0.28000000000000003</v>
      </c>
      <c r="J362">
        <v>0.01</v>
      </c>
      <c r="K362">
        <v>15.73</v>
      </c>
      <c r="L362">
        <v>0.2</v>
      </c>
      <c r="M362">
        <v>0.12</v>
      </c>
      <c r="N362">
        <v>0.01</v>
      </c>
      <c r="O362">
        <v>4.87</v>
      </c>
      <c r="P362">
        <v>0.17</v>
      </c>
      <c r="Q362">
        <v>5.67</v>
      </c>
      <c r="R362">
        <v>7.0000000000000007E-2</v>
      </c>
      <c r="S362">
        <v>2.71</v>
      </c>
      <c r="T362">
        <v>0.14000000000000001</v>
      </c>
      <c r="U362">
        <v>0.94</v>
      </c>
      <c r="V362">
        <v>0.04</v>
      </c>
      <c r="W362">
        <v>1.04</v>
      </c>
      <c r="X362">
        <v>7.0000000000000007E-2</v>
      </c>
      <c r="Y362">
        <v>9.94</v>
      </c>
      <c r="Z362">
        <v>0.15</v>
      </c>
      <c r="AA362">
        <v>1.4</v>
      </c>
      <c r="AB362">
        <v>0.03</v>
      </c>
      <c r="AW362">
        <v>829</v>
      </c>
      <c r="AX362">
        <v>44</v>
      </c>
      <c r="AY362">
        <v>1088</v>
      </c>
      <c r="AZ362">
        <v>35</v>
      </c>
      <c r="BA362">
        <v>115</v>
      </c>
      <c r="BB362">
        <v>10</v>
      </c>
    </row>
    <row r="363" spans="1:54" x14ac:dyDescent="0.25">
      <c r="A363">
        <v>1963</v>
      </c>
      <c r="B363" t="s">
        <v>1043</v>
      </c>
      <c r="C363">
        <v>50.2</v>
      </c>
      <c r="D363">
        <v>0.54</v>
      </c>
      <c r="E363">
        <v>0.93</v>
      </c>
      <c r="F363">
        <v>0.03</v>
      </c>
      <c r="G363">
        <v>9.52</v>
      </c>
      <c r="H363">
        <v>0.28999999999999998</v>
      </c>
      <c r="I363">
        <v>0.3</v>
      </c>
      <c r="J363">
        <v>0.01</v>
      </c>
      <c r="K363">
        <v>15.03</v>
      </c>
      <c r="L363">
        <v>0.2</v>
      </c>
      <c r="M363">
        <v>0.12</v>
      </c>
      <c r="N363">
        <v>0.01</v>
      </c>
      <c r="O363">
        <v>4.63</v>
      </c>
      <c r="P363">
        <v>0.17</v>
      </c>
      <c r="Q363">
        <v>4.96</v>
      </c>
      <c r="R363">
        <v>0.06</v>
      </c>
      <c r="S363">
        <v>2.72</v>
      </c>
      <c r="T363">
        <v>0.14000000000000001</v>
      </c>
      <c r="U363">
        <v>1</v>
      </c>
      <c r="V363">
        <v>0.04</v>
      </c>
      <c r="W363">
        <v>0.76</v>
      </c>
      <c r="X363">
        <v>0.05</v>
      </c>
      <c r="Y363">
        <v>7.99</v>
      </c>
      <c r="Z363">
        <v>0.1</v>
      </c>
      <c r="AA363">
        <v>1.54</v>
      </c>
      <c r="AB363">
        <v>0.02</v>
      </c>
      <c r="AW363">
        <v>979</v>
      </c>
      <c r="AX363">
        <v>49</v>
      </c>
      <c r="AY363">
        <v>1247</v>
      </c>
      <c r="AZ363">
        <v>40</v>
      </c>
      <c r="BA363">
        <v>104</v>
      </c>
      <c r="BB363">
        <v>5</v>
      </c>
    </row>
    <row r="364" spans="1:54" x14ac:dyDescent="0.25">
      <c r="A364">
        <v>1966</v>
      </c>
      <c r="B364" t="s">
        <v>1044</v>
      </c>
      <c r="C364">
        <v>49.34</v>
      </c>
      <c r="D364">
        <v>0.54</v>
      </c>
      <c r="E364">
        <v>0.88</v>
      </c>
      <c r="F364">
        <v>0.03</v>
      </c>
      <c r="G364">
        <v>9.64</v>
      </c>
      <c r="H364">
        <v>0.28999999999999998</v>
      </c>
      <c r="I364">
        <v>0.26</v>
      </c>
      <c r="J364">
        <v>0.01</v>
      </c>
      <c r="K364">
        <v>16.55</v>
      </c>
      <c r="L364">
        <v>0.2</v>
      </c>
      <c r="M364">
        <v>0.11</v>
      </c>
      <c r="N364">
        <v>0.01</v>
      </c>
      <c r="O364">
        <v>5.24</v>
      </c>
      <c r="P364">
        <v>0.17</v>
      </c>
      <c r="Q364">
        <v>4.47</v>
      </c>
      <c r="R364">
        <v>0.06</v>
      </c>
      <c r="S364">
        <v>2.71</v>
      </c>
      <c r="T364">
        <v>0.14000000000000001</v>
      </c>
      <c r="U364">
        <v>0.96</v>
      </c>
      <c r="V364">
        <v>0.04</v>
      </c>
      <c r="W364">
        <v>0.77</v>
      </c>
      <c r="X364">
        <v>0.05</v>
      </c>
      <c r="Y364">
        <v>7.57</v>
      </c>
      <c r="Z364">
        <v>0.1</v>
      </c>
      <c r="AA364">
        <v>1.24</v>
      </c>
      <c r="AB364">
        <v>0.03</v>
      </c>
      <c r="AW364">
        <v>895</v>
      </c>
      <c r="AX364">
        <v>44</v>
      </c>
      <c r="AY364">
        <v>910</v>
      </c>
      <c r="AZ364">
        <v>30</v>
      </c>
      <c r="BA364">
        <v>80</v>
      </c>
      <c r="BB364">
        <v>5</v>
      </c>
    </row>
    <row r="365" spans="1:54" x14ac:dyDescent="0.25">
      <c r="A365">
        <v>1966</v>
      </c>
      <c r="B365" t="s">
        <v>1045</v>
      </c>
      <c r="C365">
        <v>50.53</v>
      </c>
      <c r="D365">
        <v>0.54</v>
      </c>
      <c r="E365">
        <v>0.9</v>
      </c>
      <c r="F365">
        <v>0.03</v>
      </c>
      <c r="G365">
        <v>9.66</v>
      </c>
      <c r="H365">
        <v>0.28999999999999998</v>
      </c>
      <c r="I365">
        <v>0.28999999999999998</v>
      </c>
      <c r="J365">
        <v>0.01</v>
      </c>
      <c r="K365">
        <v>14.26</v>
      </c>
      <c r="L365">
        <v>0.2</v>
      </c>
      <c r="M365">
        <v>0.14000000000000001</v>
      </c>
      <c r="N365">
        <v>0.01</v>
      </c>
      <c r="O365">
        <v>5.26</v>
      </c>
      <c r="P365">
        <v>0.17</v>
      </c>
      <c r="Q365">
        <v>4.67</v>
      </c>
      <c r="R365">
        <v>0.06</v>
      </c>
      <c r="S365">
        <v>2.63</v>
      </c>
      <c r="T365">
        <v>0.14000000000000001</v>
      </c>
      <c r="U365">
        <v>1</v>
      </c>
      <c r="V365">
        <v>0.04</v>
      </c>
      <c r="W365">
        <v>0.73</v>
      </c>
      <c r="X365">
        <v>0.05</v>
      </c>
      <c r="Y365">
        <v>8.26</v>
      </c>
      <c r="Z365">
        <v>0.1</v>
      </c>
      <c r="AA365">
        <v>1.33</v>
      </c>
      <c r="AB365">
        <v>0.03</v>
      </c>
      <c r="AW365">
        <v>1040</v>
      </c>
      <c r="AX365">
        <v>54</v>
      </c>
      <c r="AY365">
        <v>1151</v>
      </c>
      <c r="AZ365">
        <v>35</v>
      </c>
      <c r="BA365">
        <v>126</v>
      </c>
      <c r="BB365">
        <v>5</v>
      </c>
    </row>
    <row r="366" spans="1:54" x14ac:dyDescent="0.25">
      <c r="A366">
        <v>1969</v>
      </c>
      <c r="B366" t="s">
        <v>1046</v>
      </c>
      <c r="C366">
        <v>47.47</v>
      </c>
      <c r="D366">
        <v>0.54</v>
      </c>
      <c r="E366">
        <v>0.93</v>
      </c>
      <c r="F366">
        <v>0.03</v>
      </c>
      <c r="G366">
        <v>10.44</v>
      </c>
      <c r="H366">
        <v>0.28999999999999998</v>
      </c>
      <c r="I366">
        <v>0.46</v>
      </c>
      <c r="J366">
        <v>0.01</v>
      </c>
      <c r="K366">
        <v>17.37</v>
      </c>
      <c r="L366">
        <v>0.2</v>
      </c>
      <c r="M366">
        <v>0.36</v>
      </c>
      <c r="N366">
        <v>0.01</v>
      </c>
      <c r="O366">
        <v>7.55</v>
      </c>
      <c r="P366">
        <v>0.17</v>
      </c>
      <c r="Q366">
        <v>7.14</v>
      </c>
      <c r="R366">
        <v>0.08</v>
      </c>
      <c r="S366">
        <v>2.85</v>
      </c>
      <c r="T366">
        <v>0.14000000000000001</v>
      </c>
      <c r="U366">
        <v>0.59</v>
      </c>
      <c r="V366">
        <v>0.02</v>
      </c>
      <c r="W366">
        <v>0.76</v>
      </c>
      <c r="X366">
        <v>0.05</v>
      </c>
      <c r="Y366">
        <v>3.4</v>
      </c>
      <c r="Z366">
        <v>0.05</v>
      </c>
      <c r="AA366">
        <v>0.56999999999999995</v>
      </c>
      <c r="AB366">
        <v>0.02</v>
      </c>
      <c r="AW366">
        <v>443</v>
      </c>
      <c r="AX366">
        <v>24</v>
      </c>
      <c r="AY366">
        <v>250</v>
      </c>
      <c r="AZ366">
        <v>10</v>
      </c>
      <c r="BA366">
        <v>23</v>
      </c>
      <c r="BB366">
        <v>5</v>
      </c>
    </row>
    <row r="367" spans="1:54" x14ac:dyDescent="0.25">
      <c r="A367">
        <v>1971</v>
      </c>
      <c r="B367" t="s">
        <v>1047</v>
      </c>
      <c r="C367">
        <v>45.2</v>
      </c>
      <c r="D367">
        <v>0.54</v>
      </c>
      <c r="E367">
        <v>0.93</v>
      </c>
      <c r="F367">
        <v>0.03</v>
      </c>
      <c r="G367">
        <v>9.41</v>
      </c>
      <c r="H367">
        <v>0.19</v>
      </c>
      <c r="I367">
        <v>0.51</v>
      </c>
      <c r="J367">
        <v>0.01</v>
      </c>
      <c r="K367">
        <v>19.649999999999999</v>
      </c>
      <c r="L367">
        <v>0.26</v>
      </c>
      <c r="M367">
        <v>0.41</v>
      </c>
      <c r="N367">
        <v>0.01</v>
      </c>
      <c r="O367">
        <v>8.7799999999999994</v>
      </c>
      <c r="P367">
        <v>0.25</v>
      </c>
      <c r="Q367">
        <v>7.21</v>
      </c>
      <c r="R367">
        <v>0.08</v>
      </c>
      <c r="S367">
        <v>2.58</v>
      </c>
      <c r="T367">
        <v>0.14000000000000001</v>
      </c>
      <c r="U367">
        <v>0.46</v>
      </c>
      <c r="V367">
        <v>0.02</v>
      </c>
      <c r="W367">
        <v>0.75</v>
      </c>
      <c r="X367">
        <v>0.05</v>
      </c>
      <c r="Y367">
        <v>3.45</v>
      </c>
      <c r="Z367">
        <v>0.08</v>
      </c>
      <c r="AA367">
        <v>0.53</v>
      </c>
      <c r="AB367">
        <v>0.02</v>
      </c>
      <c r="AW367">
        <v>487</v>
      </c>
      <c r="AX367">
        <v>24</v>
      </c>
      <c r="AY367">
        <v>241</v>
      </c>
      <c r="AZ367">
        <v>10</v>
      </c>
      <c r="BA367">
        <v>31</v>
      </c>
      <c r="BB367">
        <v>5</v>
      </c>
    </row>
    <row r="368" spans="1:54" x14ac:dyDescent="0.25">
      <c r="A368">
        <v>1972</v>
      </c>
      <c r="B368" t="s">
        <v>1048</v>
      </c>
      <c r="C368">
        <v>47.41</v>
      </c>
      <c r="D368">
        <v>0.54</v>
      </c>
      <c r="E368">
        <v>0.87</v>
      </c>
      <c r="F368">
        <v>0.03</v>
      </c>
      <c r="G368">
        <v>9.2200000000000006</v>
      </c>
      <c r="H368">
        <v>0.19</v>
      </c>
      <c r="I368">
        <v>0.28999999999999998</v>
      </c>
      <c r="J368">
        <v>0.01</v>
      </c>
      <c r="K368">
        <v>14.36</v>
      </c>
      <c r="L368">
        <v>0.2</v>
      </c>
      <c r="M368">
        <v>0.16</v>
      </c>
      <c r="N368">
        <v>0.01</v>
      </c>
      <c r="O368">
        <v>5.99</v>
      </c>
      <c r="P368">
        <v>0.17</v>
      </c>
      <c r="Q368">
        <v>5.74</v>
      </c>
      <c r="R368">
        <v>7.0000000000000007E-2</v>
      </c>
      <c r="S368">
        <v>2.57</v>
      </c>
      <c r="T368">
        <v>0.14000000000000001</v>
      </c>
      <c r="U368">
        <v>0.94</v>
      </c>
      <c r="V368">
        <v>0.04</v>
      </c>
      <c r="W368">
        <v>0.87</v>
      </c>
      <c r="X368">
        <v>0.05</v>
      </c>
      <c r="Y368">
        <v>9.93</v>
      </c>
      <c r="Z368">
        <v>0.12</v>
      </c>
      <c r="AA368">
        <v>1.28</v>
      </c>
      <c r="AB368">
        <v>0.03</v>
      </c>
      <c r="AW368">
        <v>1023</v>
      </c>
      <c r="AX368">
        <v>54</v>
      </c>
      <c r="AY368">
        <v>1143</v>
      </c>
      <c r="AZ368">
        <v>35</v>
      </c>
      <c r="BA368">
        <v>121</v>
      </c>
      <c r="BB368">
        <v>5</v>
      </c>
    </row>
    <row r="369" spans="1:54" x14ac:dyDescent="0.25">
      <c r="A369">
        <v>1975</v>
      </c>
      <c r="B369" t="s">
        <v>1049</v>
      </c>
      <c r="C369">
        <v>34.81</v>
      </c>
      <c r="D369">
        <v>0.43</v>
      </c>
      <c r="E369">
        <v>0.74</v>
      </c>
      <c r="F369">
        <v>0.03</v>
      </c>
      <c r="G369">
        <v>7</v>
      </c>
      <c r="H369">
        <v>0.19</v>
      </c>
      <c r="I369">
        <v>0.38</v>
      </c>
      <c r="J369">
        <v>0.03</v>
      </c>
      <c r="K369">
        <v>14.7</v>
      </c>
      <c r="L369">
        <v>0.2</v>
      </c>
      <c r="M369">
        <v>0.22</v>
      </c>
      <c r="N369">
        <v>0.01</v>
      </c>
      <c r="O369">
        <v>5.78</v>
      </c>
      <c r="P369">
        <v>0.17</v>
      </c>
      <c r="Q369">
        <v>12.63</v>
      </c>
      <c r="R369">
        <v>0.14000000000000001</v>
      </c>
      <c r="S369">
        <v>2.11</v>
      </c>
      <c r="T369">
        <v>0.14000000000000001</v>
      </c>
      <c r="U369">
        <v>0.41</v>
      </c>
      <c r="V369">
        <v>0.02</v>
      </c>
      <c r="W369">
        <v>0.62</v>
      </c>
      <c r="X369">
        <v>0.05</v>
      </c>
      <c r="Y369">
        <v>19.7</v>
      </c>
      <c r="Z369">
        <v>0.22</v>
      </c>
      <c r="AA369">
        <v>0.72</v>
      </c>
      <c r="AB369">
        <v>0.03</v>
      </c>
      <c r="AW369">
        <v>482</v>
      </c>
      <c r="AX369">
        <v>24</v>
      </c>
      <c r="AY369">
        <v>450</v>
      </c>
      <c r="AZ369">
        <v>15</v>
      </c>
      <c r="BA369">
        <v>65</v>
      </c>
      <c r="BB369">
        <v>5</v>
      </c>
    </row>
    <row r="370" spans="1:54" x14ac:dyDescent="0.25">
      <c r="A370">
        <v>1975</v>
      </c>
      <c r="B370" t="s">
        <v>1050</v>
      </c>
      <c r="C370">
        <v>49.66</v>
      </c>
      <c r="D370">
        <v>0.54</v>
      </c>
      <c r="E370">
        <v>0.99</v>
      </c>
      <c r="F370">
        <v>0.03</v>
      </c>
      <c r="G370">
        <v>9.52</v>
      </c>
      <c r="H370">
        <v>0.28999999999999998</v>
      </c>
      <c r="I370">
        <v>0.3</v>
      </c>
      <c r="J370">
        <v>0.01</v>
      </c>
      <c r="K370">
        <v>13.75</v>
      </c>
      <c r="L370">
        <v>0.2</v>
      </c>
      <c r="M370">
        <v>0.14000000000000001</v>
      </c>
      <c r="N370">
        <v>0.01</v>
      </c>
      <c r="O370">
        <v>5.92</v>
      </c>
      <c r="P370">
        <v>0.17</v>
      </c>
      <c r="Q370">
        <v>5.53</v>
      </c>
      <c r="R370">
        <v>0.06</v>
      </c>
      <c r="S370">
        <v>2.62</v>
      </c>
      <c r="T370">
        <v>0.14000000000000001</v>
      </c>
      <c r="U370">
        <v>0.95</v>
      </c>
      <c r="V370">
        <v>0.04</v>
      </c>
      <c r="W370">
        <v>0.79</v>
      </c>
      <c r="X370">
        <v>0.05</v>
      </c>
      <c r="Y370">
        <v>8.35</v>
      </c>
      <c r="Z370">
        <v>0.1</v>
      </c>
      <c r="AA370">
        <v>1.18</v>
      </c>
      <c r="AB370">
        <v>0.02</v>
      </c>
      <c r="AW370">
        <v>1086</v>
      </c>
      <c r="AX370">
        <v>54</v>
      </c>
      <c r="AY370">
        <v>1011</v>
      </c>
      <c r="AZ370">
        <v>35</v>
      </c>
      <c r="BA370">
        <v>118</v>
      </c>
      <c r="BB370">
        <v>5</v>
      </c>
    </row>
    <row r="371" spans="1:54" x14ac:dyDescent="0.25">
      <c r="A371">
        <v>1978</v>
      </c>
      <c r="B371" t="s">
        <v>1051</v>
      </c>
      <c r="C371">
        <v>45.06</v>
      </c>
      <c r="D371">
        <v>0.54</v>
      </c>
      <c r="E371">
        <v>0.9</v>
      </c>
      <c r="F371">
        <v>0.03</v>
      </c>
      <c r="G371">
        <v>8.81</v>
      </c>
      <c r="H371">
        <v>0.19</v>
      </c>
      <c r="I371">
        <v>0.28999999999999998</v>
      </c>
      <c r="J371">
        <v>0.01</v>
      </c>
      <c r="K371">
        <v>17.899999999999999</v>
      </c>
      <c r="L371">
        <v>0.2</v>
      </c>
      <c r="M371">
        <v>0.13</v>
      </c>
      <c r="N371">
        <v>0.01</v>
      </c>
      <c r="O371">
        <v>4.07</v>
      </c>
      <c r="P371">
        <v>0.08</v>
      </c>
      <c r="Q371">
        <v>7.14</v>
      </c>
      <c r="R371">
        <v>0.08</v>
      </c>
      <c r="S371">
        <v>2.71</v>
      </c>
      <c r="T371">
        <v>0.14000000000000001</v>
      </c>
      <c r="U371">
        <v>0.91</v>
      </c>
      <c r="V371">
        <v>0.04</v>
      </c>
      <c r="W371">
        <v>0.66</v>
      </c>
      <c r="X371">
        <v>0.05</v>
      </c>
      <c r="Y371">
        <v>10.029999999999999</v>
      </c>
      <c r="Z371">
        <v>0.12</v>
      </c>
      <c r="AA371">
        <v>1.04</v>
      </c>
      <c r="AB371">
        <v>0.02</v>
      </c>
      <c r="AW371">
        <v>1042</v>
      </c>
      <c r="AX371">
        <v>54</v>
      </c>
      <c r="AY371">
        <v>1162</v>
      </c>
      <c r="AZ371">
        <v>35</v>
      </c>
      <c r="BA371">
        <v>129</v>
      </c>
      <c r="BB371">
        <v>5</v>
      </c>
    </row>
    <row r="372" spans="1:54" x14ac:dyDescent="0.25">
      <c r="A372">
        <v>1979</v>
      </c>
      <c r="B372" t="s">
        <v>1052</v>
      </c>
      <c r="C372">
        <v>50.02</v>
      </c>
      <c r="D372">
        <v>0.54</v>
      </c>
      <c r="E372">
        <v>1.04</v>
      </c>
      <c r="F372">
        <v>0.03</v>
      </c>
      <c r="G372">
        <v>9.83</v>
      </c>
      <c r="H372">
        <v>0.28999999999999998</v>
      </c>
      <c r="I372">
        <v>0.32</v>
      </c>
      <c r="J372">
        <v>0.01</v>
      </c>
      <c r="K372">
        <v>15.45</v>
      </c>
      <c r="L372">
        <v>0.2</v>
      </c>
      <c r="M372">
        <v>0.18</v>
      </c>
      <c r="N372">
        <v>0.01</v>
      </c>
      <c r="O372">
        <v>6.41</v>
      </c>
      <c r="P372">
        <v>0.17</v>
      </c>
      <c r="Q372">
        <v>4.5999999999999996</v>
      </c>
      <c r="R372">
        <v>0.06</v>
      </c>
      <c r="S372">
        <v>2.74</v>
      </c>
      <c r="T372">
        <v>0.14000000000000001</v>
      </c>
      <c r="U372">
        <v>0.94</v>
      </c>
      <c r="V372">
        <v>0.04</v>
      </c>
      <c r="W372">
        <v>0.78</v>
      </c>
      <c r="X372">
        <v>0.05</v>
      </c>
      <c r="Y372">
        <v>6.16</v>
      </c>
      <c r="Z372">
        <v>0.1</v>
      </c>
      <c r="AA372">
        <v>1.25</v>
      </c>
      <c r="AB372">
        <v>0.03</v>
      </c>
      <c r="AW372">
        <v>983</v>
      </c>
      <c r="AX372">
        <v>49</v>
      </c>
      <c r="AY372">
        <v>1001</v>
      </c>
      <c r="AZ372">
        <v>35</v>
      </c>
      <c r="BA372">
        <v>91</v>
      </c>
      <c r="BB372">
        <v>10</v>
      </c>
    </row>
    <row r="373" spans="1:54" x14ac:dyDescent="0.25">
      <c r="A373">
        <v>1979</v>
      </c>
      <c r="B373" t="s">
        <v>1053</v>
      </c>
      <c r="C373">
        <v>50.3</v>
      </c>
      <c r="D373">
        <v>0.54</v>
      </c>
      <c r="E373">
        <v>0.94</v>
      </c>
      <c r="F373">
        <v>0.03</v>
      </c>
      <c r="G373">
        <v>9.51</v>
      </c>
      <c r="H373">
        <v>0.28999999999999998</v>
      </c>
      <c r="I373">
        <v>0.31</v>
      </c>
      <c r="J373">
        <v>0.01</v>
      </c>
      <c r="K373">
        <v>14.93</v>
      </c>
      <c r="L373">
        <v>0.2</v>
      </c>
      <c r="M373">
        <v>0.14000000000000001</v>
      </c>
      <c r="N373">
        <v>0.01</v>
      </c>
      <c r="O373">
        <v>5.16</v>
      </c>
      <c r="P373">
        <v>0.17</v>
      </c>
      <c r="Q373">
        <v>4.9400000000000004</v>
      </c>
      <c r="R373">
        <v>0.06</v>
      </c>
      <c r="S373">
        <v>2.66</v>
      </c>
      <c r="T373">
        <v>0.14000000000000001</v>
      </c>
      <c r="U373">
        <v>0.91</v>
      </c>
      <c r="V373">
        <v>0.04</v>
      </c>
      <c r="W373">
        <v>0.71</v>
      </c>
      <c r="X373">
        <v>0.05</v>
      </c>
      <c r="Y373">
        <v>7.83</v>
      </c>
      <c r="Z373">
        <v>0.1</v>
      </c>
      <c r="AA373">
        <v>1.3</v>
      </c>
      <c r="AB373">
        <v>0.02</v>
      </c>
      <c r="AW373">
        <v>1075</v>
      </c>
      <c r="AX373">
        <v>54</v>
      </c>
      <c r="AY373">
        <v>1001</v>
      </c>
      <c r="AZ373">
        <v>35</v>
      </c>
      <c r="BA373">
        <v>102</v>
      </c>
      <c r="BB373">
        <v>5</v>
      </c>
    </row>
    <row r="374" spans="1:54" x14ac:dyDescent="0.25">
      <c r="A374">
        <v>1984</v>
      </c>
      <c r="B374" t="s">
        <v>1054</v>
      </c>
      <c r="C374">
        <v>50.59</v>
      </c>
      <c r="D374">
        <v>0.54</v>
      </c>
      <c r="E374">
        <v>1</v>
      </c>
      <c r="F374">
        <v>0.03</v>
      </c>
      <c r="G374">
        <v>9.9700000000000006</v>
      </c>
      <c r="H374">
        <v>0.28999999999999998</v>
      </c>
      <c r="I374">
        <v>0.31</v>
      </c>
      <c r="J374">
        <v>0.01</v>
      </c>
      <c r="K374">
        <v>15.8</v>
      </c>
      <c r="L374">
        <v>0.2</v>
      </c>
      <c r="M374">
        <v>0.14000000000000001</v>
      </c>
      <c r="N374">
        <v>0.01</v>
      </c>
      <c r="O374">
        <v>4.78</v>
      </c>
      <c r="P374">
        <v>0.17</v>
      </c>
      <c r="Q374">
        <v>4.79</v>
      </c>
      <c r="R374">
        <v>0.06</v>
      </c>
      <c r="S374">
        <v>2.9</v>
      </c>
      <c r="T374">
        <v>0.14000000000000001</v>
      </c>
      <c r="U374">
        <v>1.04</v>
      </c>
      <c r="V374">
        <v>0.04</v>
      </c>
      <c r="W374">
        <v>0.56999999999999995</v>
      </c>
      <c r="X374">
        <v>0.05</v>
      </c>
      <c r="Y374">
        <v>6.62</v>
      </c>
      <c r="Z374">
        <v>0.08</v>
      </c>
      <c r="AA374">
        <v>1.1499999999999999</v>
      </c>
      <c r="AB374">
        <v>0.02</v>
      </c>
      <c r="AW374">
        <v>1010</v>
      </c>
      <c r="AX374">
        <v>54</v>
      </c>
      <c r="AY374">
        <v>988</v>
      </c>
      <c r="AZ374">
        <v>30</v>
      </c>
      <c r="BA374">
        <v>91</v>
      </c>
      <c r="BB374">
        <v>5</v>
      </c>
    </row>
    <row r="375" spans="1:54" x14ac:dyDescent="0.25">
      <c r="A375">
        <v>1988</v>
      </c>
      <c r="B375" t="s">
        <v>1055</v>
      </c>
      <c r="C375">
        <v>46.28</v>
      </c>
      <c r="D375">
        <v>0.54</v>
      </c>
      <c r="E375">
        <v>0.86</v>
      </c>
      <c r="F375">
        <v>0.03</v>
      </c>
      <c r="G375">
        <v>9.08</v>
      </c>
      <c r="H375">
        <v>0.19</v>
      </c>
      <c r="I375">
        <v>0.27</v>
      </c>
      <c r="J375">
        <v>0.01</v>
      </c>
      <c r="K375">
        <v>16.510000000000002</v>
      </c>
      <c r="L375">
        <v>0.2</v>
      </c>
      <c r="M375">
        <v>0.11</v>
      </c>
      <c r="N375">
        <v>0.01</v>
      </c>
      <c r="O375">
        <v>6.33</v>
      </c>
      <c r="P375">
        <v>0.17</v>
      </c>
      <c r="Q375">
        <v>4.75</v>
      </c>
      <c r="R375">
        <v>0.06</v>
      </c>
      <c r="S375">
        <v>2.82</v>
      </c>
      <c r="T375">
        <v>0.14000000000000001</v>
      </c>
      <c r="U375">
        <v>1.2</v>
      </c>
      <c r="V375">
        <v>0.04</v>
      </c>
      <c r="W375">
        <v>0.86</v>
      </c>
      <c r="X375">
        <v>0.05</v>
      </c>
      <c r="Y375">
        <v>8.77</v>
      </c>
      <c r="Z375">
        <v>0.15</v>
      </c>
      <c r="AA375">
        <v>1.71</v>
      </c>
      <c r="AB375">
        <v>0.04</v>
      </c>
      <c r="AW375">
        <v>746</v>
      </c>
      <c r="AX375">
        <v>40</v>
      </c>
      <c r="AY375">
        <v>1342</v>
      </c>
      <c r="AZ375">
        <v>44</v>
      </c>
      <c r="BA375">
        <v>38</v>
      </c>
      <c r="BB375">
        <v>5</v>
      </c>
    </row>
    <row r="376" spans="1:54" x14ac:dyDescent="0.25">
      <c r="A376">
        <v>1988</v>
      </c>
      <c r="B376" t="s">
        <v>1056</v>
      </c>
      <c r="C376">
        <v>48.03</v>
      </c>
      <c r="D376">
        <v>0.54</v>
      </c>
      <c r="E376">
        <v>0.95</v>
      </c>
      <c r="F376">
        <v>0.03</v>
      </c>
      <c r="G376">
        <v>9.4499999999999993</v>
      </c>
      <c r="H376">
        <v>0.28999999999999998</v>
      </c>
      <c r="I376">
        <v>0.28999999999999998</v>
      </c>
      <c r="J376">
        <v>0.01</v>
      </c>
      <c r="K376">
        <v>17.010000000000002</v>
      </c>
      <c r="L376">
        <v>0.2</v>
      </c>
      <c r="M376">
        <v>0.11</v>
      </c>
      <c r="N376">
        <v>0.01</v>
      </c>
      <c r="O376">
        <v>6.1</v>
      </c>
      <c r="P376">
        <v>0.17</v>
      </c>
      <c r="Q376">
        <v>4.34</v>
      </c>
      <c r="R376">
        <v>0.06</v>
      </c>
      <c r="S376">
        <v>2.73</v>
      </c>
      <c r="T376">
        <v>0.14000000000000001</v>
      </c>
      <c r="U376">
        <v>0.99</v>
      </c>
      <c r="V376">
        <v>0.04</v>
      </c>
      <c r="W376">
        <v>0.83</v>
      </c>
      <c r="X376">
        <v>0.05</v>
      </c>
      <c r="Y376">
        <v>7.06</v>
      </c>
      <c r="Z376">
        <v>0.1</v>
      </c>
      <c r="AA376">
        <v>1.74</v>
      </c>
      <c r="AB376">
        <v>0.03</v>
      </c>
      <c r="AW376">
        <v>832</v>
      </c>
      <c r="AX376">
        <v>44</v>
      </c>
      <c r="AY376">
        <v>1601</v>
      </c>
      <c r="AZ376">
        <v>49</v>
      </c>
      <c r="BA376">
        <v>23</v>
      </c>
      <c r="BB376">
        <v>5</v>
      </c>
    </row>
    <row r="377" spans="1:54" x14ac:dyDescent="0.25">
      <c r="A377">
        <v>1995</v>
      </c>
      <c r="B377" t="s">
        <v>1057</v>
      </c>
      <c r="C377">
        <v>48.86</v>
      </c>
      <c r="D377">
        <v>0.54</v>
      </c>
      <c r="E377">
        <v>0.99</v>
      </c>
      <c r="F377">
        <v>0.03</v>
      </c>
      <c r="G377">
        <v>9.32</v>
      </c>
      <c r="H377">
        <v>0.19</v>
      </c>
      <c r="I377">
        <v>0.27</v>
      </c>
      <c r="J377">
        <v>0.01</v>
      </c>
      <c r="K377">
        <v>17.149999999999999</v>
      </c>
      <c r="L377">
        <v>0.2</v>
      </c>
      <c r="M377">
        <v>0.28999999999999998</v>
      </c>
      <c r="N377">
        <v>0.01</v>
      </c>
      <c r="O377">
        <v>5.46</v>
      </c>
      <c r="P377">
        <v>0.17</v>
      </c>
      <c r="Q377">
        <v>4.6500000000000004</v>
      </c>
      <c r="R377">
        <v>0.06</v>
      </c>
      <c r="S377">
        <v>2.7</v>
      </c>
      <c r="T377">
        <v>0.14000000000000001</v>
      </c>
      <c r="U377">
        <v>1.02</v>
      </c>
      <c r="V377">
        <v>0.04</v>
      </c>
      <c r="W377">
        <v>0.77</v>
      </c>
      <c r="X377">
        <v>0.05</v>
      </c>
      <c r="Y377">
        <v>7.02</v>
      </c>
      <c r="Z377">
        <v>0.12</v>
      </c>
      <c r="AA377">
        <v>1.24</v>
      </c>
      <c r="AB377">
        <v>0.03</v>
      </c>
      <c r="AW377">
        <v>816</v>
      </c>
      <c r="AX377">
        <v>44</v>
      </c>
      <c r="AY377">
        <v>980</v>
      </c>
      <c r="AZ377">
        <v>30</v>
      </c>
      <c r="BA377">
        <v>21</v>
      </c>
      <c r="BB377">
        <v>5</v>
      </c>
    </row>
    <row r="378" spans="1:54" x14ac:dyDescent="0.25">
      <c r="A378">
        <v>1995</v>
      </c>
      <c r="B378" t="s">
        <v>1058</v>
      </c>
      <c r="C378">
        <v>48.57</v>
      </c>
      <c r="D378">
        <v>0.54</v>
      </c>
      <c r="E378">
        <v>0.96</v>
      </c>
      <c r="F378">
        <v>0.03</v>
      </c>
      <c r="G378">
        <v>9.23</v>
      </c>
      <c r="H378">
        <v>0.19</v>
      </c>
      <c r="I378">
        <v>0.27</v>
      </c>
      <c r="J378">
        <v>0.01</v>
      </c>
      <c r="K378">
        <v>17.02</v>
      </c>
      <c r="L378">
        <v>0.2</v>
      </c>
      <c r="M378">
        <v>0.28000000000000003</v>
      </c>
      <c r="N378">
        <v>0.01</v>
      </c>
      <c r="O378">
        <v>5.52</v>
      </c>
      <c r="P378">
        <v>0.17</v>
      </c>
      <c r="Q378">
        <v>4.53</v>
      </c>
      <c r="R378">
        <v>0.06</v>
      </c>
      <c r="S378">
        <v>2.8</v>
      </c>
      <c r="T378">
        <v>0.14000000000000001</v>
      </c>
      <c r="U378">
        <v>1.01</v>
      </c>
      <c r="V378">
        <v>0.04</v>
      </c>
      <c r="W378">
        <v>0.81</v>
      </c>
      <c r="X378">
        <v>0.05</v>
      </c>
      <c r="Y378">
        <v>7.01</v>
      </c>
      <c r="Z378">
        <v>0.1</v>
      </c>
      <c r="AA378">
        <v>1.72</v>
      </c>
      <c r="AB378">
        <v>0.03</v>
      </c>
      <c r="AW378">
        <v>703</v>
      </c>
      <c r="AX378">
        <v>40</v>
      </c>
      <c r="AY378">
        <v>844</v>
      </c>
      <c r="AZ378">
        <v>30</v>
      </c>
      <c r="BA378">
        <v>35</v>
      </c>
      <c r="BB378">
        <v>5</v>
      </c>
    </row>
    <row r="379" spans="1:54" x14ac:dyDescent="0.25">
      <c r="A379">
        <v>2000</v>
      </c>
      <c r="B379" t="s">
        <v>1059</v>
      </c>
      <c r="C379">
        <v>48.69</v>
      </c>
      <c r="D379">
        <v>0.54</v>
      </c>
      <c r="E379">
        <v>1.01</v>
      </c>
      <c r="F379">
        <v>0.03</v>
      </c>
      <c r="G379">
        <v>9.1999999999999993</v>
      </c>
      <c r="H379">
        <v>0.19</v>
      </c>
      <c r="I379">
        <v>0.32</v>
      </c>
      <c r="J379">
        <v>0.01</v>
      </c>
      <c r="K379">
        <v>19.05</v>
      </c>
      <c r="L379">
        <v>0.2</v>
      </c>
      <c r="M379">
        <v>0.33</v>
      </c>
      <c r="N379">
        <v>0.01</v>
      </c>
      <c r="O379">
        <v>6.01</v>
      </c>
      <c r="P379">
        <v>0.17</v>
      </c>
      <c r="Q379">
        <v>4.0199999999999996</v>
      </c>
      <c r="R379">
        <v>0.06</v>
      </c>
      <c r="S379">
        <v>2.66</v>
      </c>
      <c r="T379">
        <v>0.14000000000000001</v>
      </c>
      <c r="U379">
        <v>1</v>
      </c>
      <c r="V379">
        <v>0.04</v>
      </c>
      <c r="W379">
        <v>0.89</v>
      </c>
      <c r="X379">
        <v>0.05</v>
      </c>
      <c r="Y379">
        <v>5.4</v>
      </c>
      <c r="Z379">
        <v>0.1</v>
      </c>
      <c r="AA379">
        <v>1.06</v>
      </c>
      <c r="AB379">
        <v>0.03</v>
      </c>
      <c r="AW379">
        <v>835</v>
      </c>
      <c r="AX379">
        <v>44</v>
      </c>
      <c r="AY379">
        <v>1014</v>
      </c>
      <c r="AZ379">
        <v>35</v>
      </c>
      <c r="BA379">
        <v>40</v>
      </c>
      <c r="BB379">
        <v>5</v>
      </c>
    </row>
    <row r="380" spans="1:54" x14ac:dyDescent="0.25">
      <c r="A380">
        <v>2001</v>
      </c>
      <c r="B380" t="s">
        <v>1060</v>
      </c>
      <c r="C380">
        <v>46.32</v>
      </c>
      <c r="D380">
        <v>0.54</v>
      </c>
      <c r="E380">
        <v>0.96</v>
      </c>
      <c r="F380">
        <v>0.05</v>
      </c>
      <c r="G380">
        <v>8.75</v>
      </c>
      <c r="H380">
        <v>0.19</v>
      </c>
      <c r="I380">
        <v>0.26</v>
      </c>
      <c r="J380">
        <v>0.01</v>
      </c>
      <c r="K380">
        <v>17.46</v>
      </c>
      <c r="L380">
        <v>0.2</v>
      </c>
      <c r="M380">
        <v>0.32</v>
      </c>
      <c r="N380">
        <v>0.01</v>
      </c>
      <c r="O380">
        <v>5.34</v>
      </c>
      <c r="P380">
        <v>0.17</v>
      </c>
      <c r="Q380">
        <v>6.05</v>
      </c>
      <c r="R380">
        <v>7.0000000000000007E-2</v>
      </c>
      <c r="S380">
        <v>2.5299999999999998</v>
      </c>
      <c r="T380">
        <v>0.14000000000000001</v>
      </c>
      <c r="U380">
        <v>0.96</v>
      </c>
      <c r="V380">
        <v>0.04</v>
      </c>
      <c r="W380">
        <v>0.9</v>
      </c>
      <c r="X380">
        <v>0.05</v>
      </c>
      <c r="Y380">
        <v>8.82</v>
      </c>
      <c r="Z380">
        <v>0.15</v>
      </c>
      <c r="AA380">
        <v>1.07</v>
      </c>
      <c r="AB380">
        <v>0.03</v>
      </c>
      <c r="AW380">
        <v>722</v>
      </c>
      <c r="AX380">
        <v>40</v>
      </c>
      <c r="AY380">
        <v>886</v>
      </c>
      <c r="AZ380">
        <v>30</v>
      </c>
      <c r="BA380">
        <v>34</v>
      </c>
      <c r="BB380">
        <v>10</v>
      </c>
    </row>
    <row r="381" spans="1:54" x14ac:dyDescent="0.25">
      <c r="A381">
        <v>2001</v>
      </c>
      <c r="B381" t="s">
        <v>1061</v>
      </c>
      <c r="C381">
        <v>45.64</v>
      </c>
      <c r="D381">
        <v>0.54</v>
      </c>
      <c r="E381">
        <v>0.98</v>
      </c>
      <c r="F381">
        <v>0.03</v>
      </c>
      <c r="G381">
        <v>8.5500000000000007</v>
      </c>
      <c r="H381">
        <v>0.19</v>
      </c>
      <c r="I381">
        <v>0.3</v>
      </c>
      <c r="J381">
        <v>0.01</v>
      </c>
      <c r="K381">
        <v>17.39</v>
      </c>
      <c r="L381">
        <v>0.2</v>
      </c>
      <c r="M381">
        <v>0.31</v>
      </c>
      <c r="N381">
        <v>0.01</v>
      </c>
      <c r="O381">
        <v>5.37</v>
      </c>
      <c r="P381">
        <v>0.17</v>
      </c>
      <c r="Q381">
        <v>6.43</v>
      </c>
      <c r="R381">
        <v>7.0000000000000007E-2</v>
      </c>
      <c r="S381">
        <v>2.42</v>
      </c>
      <c r="T381">
        <v>0.14000000000000001</v>
      </c>
      <c r="U381">
        <v>0.91</v>
      </c>
      <c r="V381">
        <v>0.04</v>
      </c>
      <c r="W381">
        <v>0.88</v>
      </c>
      <c r="X381">
        <v>0.05</v>
      </c>
      <c r="Y381">
        <v>9.5399999999999991</v>
      </c>
      <c r="Z381">
        <v>0.1</v>
      </c>
      <c r="AA381">
        <v>1.03</v>
      </c>
      <c r="AB381">
        <v>0.02</v>
      </c>
      <c r="AW381">
        <v>750</v>
      </c>
      <c r="AX381">
        <v>40</v>
      </c>
      <c r="AY381">
        <v>951</v>
      </c>
      <c r="AZ381">
        <v>30</v>
      </c>
      <c r="BA381">
        <v>77</v>
      </c>
      <c r="BB381">
        <v>5</v>
      </c>
    </row>
    <row r="382" spans="1:54" x14ac:dyDescent="0.25">
      <c r="A382">
        <v>2005</v>
      </c>
      <c r="B382" t="s">
        <v>1062</v>
      </c>
      <c r="C382">
        <v>46.99</v>
      </c>
      <c r="D382">
        <v>0.54</v>
      </c>
      <c r="E382">
        <v>1.06</v>
      </c>
      <c r="F382">
        <v>0.03</v>
      </c>
      <c r="G382">
        <v>8.9600000000000009</v>
      </c>
      <c r="H382">
        <v>0.19</v>
      </c>
      <c r="I382">
        <v>0.3</v>
      </c>
      <c r="J382">
        <v>0.01</v>
      </c>
      <c r="K382">
        <v>20.39</v>
      </c>
      <c r="L382">
        <v>0.26</v>
      </c>
      <c r="M382">
        <v>0.25</v>
      </c>
      <c r="N382">
        <v>0.01</v>
      </c>
      <c r="O382">
        <v>6.01</v>
      </c>
      <c r="P382">
        <v>0.17</v>
      </c>
      <c r="Q382">
        <v>3.54</v>
      </c>
      <c r="R382">
        <v>0.04</v>
      </c>
      <c r="S382">
        <v>2.82</v>
      </c>
      <c r="T382">
        <v>0.14000000000000001</v>
      </c>
      <c r="U382">
        <v>1.03</v>
      </c>
      <c r="V382">
        <v>0.04</v>
      </c>
      <c r="W382">
        <v>0.8</v>
      </c>
      <c r="X382">
        <v>0.05</v>
      </c>
      <c r="Y382">
        <v>5.66</v>
      </c>
      <c r="Z382">
        <v>0.1</v>
      </c>
      <c r="AA382">
        <v>1.9</v>
      </c>
      <c r="AB382">
        <v>0.04</v>
      </c>
      <c r="AW382">
        <v>1002</v>
      </c>
      <c r="AX382">
        <v>54</v>
      </c>
      <c r="AY382">
        <v>1042</v>
      </c>
      <c r="AZ382">
        <v>35</v>
      </c>
      <c r="BA382">
        <v>71</v>
      </c>
      <c r="BB382">
        <v>5</v>
      </c>
    </row>
    <row r="383" spans="1:54" x14ac:dyDescent="0.25">
      <c r="A383">
        <v>2005</v>
      </c>
      <c r="B383" t="s">
        <v>1063</v>
      </c>
      <c r="C383">
        <v>47.57</v>
      </c>
      <c r="D383">
        <v>0.54</v>
      </c>
      <c r="E383">
        <v>1.05</v>
      </c>
      <c r="F383">
        <v>0.03</v>
      </c>
      <c r="G383">
        <v>8.7799999999999994</v>
      </c>
      <c r="H383">
        <v>0.19</v>
      </c>
      <c r="I383">
        <v>0.31</v>
      </c>
      <c r="J383">
        <v>0.01</v>
      </c>
      <c r="K383">
        <v>20.68</v>
      </c>
      <c r="L383">
        <v>0.26</v>
      </c>
      <c r="M383">
        <v>0.25</v>
      </c>
      <c r="N383">
        <v>0.01</v>
      </c>
      <c r="O383">
        <v>4.99</v>
      </c>
      <c r="P383">
        <v>0.17</v>
      </c>
      <c r="Q383">
        <v>3.4</v>
      </c>
      <c r="R383">
        <v>0.04</v>
      </c>
      <c r="S383">
        <v>2.85</v>
      </c>
      <c r="T383">
        <v>0.14000000000000001</v>
      </c>
      <c r="U383">
        <v>1.1000000000000001</v>
      </c>
      <c r="V383">
        <v>0.04</v>
      </c>
      <c r="W383">
        <v>0.79</v>
      </c>
      <c r="X383">
        <v>0.05</v>
      </c>
      <c r="Y383">
        <v>5.55</v>
      </c>
      <c r="Z383">
        <v>0.08</v>
      </c>
      <c r="AA383">
        <v>2.4</v>
      </c>
      <c r="AB383">
        <v>0.03</v>
      </c>
      <c r="AW383">
        <v>1035</v>
      </c>
      <c r="AX383">
        <v>54</v>
      </c>
      <c r="AY383">
        <v>1080</v>
      </c>
      <c r="AZ383">
        <v>35</v>
      </c>
      <c r="BA383">
        <v>82</v>
      </c>
      <c r="BB383">
        <v>5</v>
      </c>
    </row>
    <row r="384" spans="1:54" x14ac:dyDescent="0.25">
      <c r="A384">
        <v>2008</v>
      </c>
      <c r="B384" t="s">
        <v>1064</v>
      </c>
      <c r="C384">
        <v>46.25</v>
      </c>
      <c r="D384">
        <v>0.54</v>
      </c>
      <c r="E384">
        <v>1.04</v>
      </c>
      <c r="F384">
        <v>0.03</v>
      </c>
      <c r="G384">
        <v>9.49</v>
      </c>
      <c r="H384">
        <v>0.28999999999999998</v>
      </c>
      <c r="I384">
        <v>0.28000000000000003</v>
      </c>
      <c r="J384">
        <v>0.03</v>
      </c>
      <c r="K384">
        <v>21.76</v>
      </c>
      <c r="L384">
        <v>0.26</v>
      </c>
      <c r="M384">
        <v>0.2</v>
      </c>
      <c r="N384">
        <v>0.01</v>
      </c>
      <c r="O384">
        <v>5.49</v>
      </c>
      <c r="P384">
        <v>0.17</v>
      </c>
      <c r="Q384">
        <v>2.97</v>
      </c>
      <c r="R384">
        <v>0.04</v>
      </c>
      <c r="S384">
        <v>2.8</v>
      </c>
      <c r="T384">
        <v>0.14000000000000001</v>
      </c>
      <c r="U384">
        <v>1.06</v>
      </c>
      <c r="V384">
        <v>0.04</v>
      </c>
      <c r="W384">
        <v>1.49</v>
      </c>
      <c r="X384">
        <v>0.09</v>
      </c>
      <c r="Y384">
        <v>4.67</v>
      </c>
      <c r="Z384">
        <v>0.1</v>
      </c>
      <c r="AA384">
        <v>2.25</v>
      </c>
      <c r="AB384">
        <v>0.05</v>
      </c>
      <c r="AW384">
        <v>864</v>
      </c>
      <c r="AX384">
        <v>44</v>
      </c>
      <c r="AY384">
        <v>869</v>
      </c>
      <c r="AZ384">
        <v>30</v>
      </c>
      <c r="BA384">
        <v>27</v>
      </c>
      <c r="BB384">
        <v>10</v>
      </c>
    </row>
    <row r="385" spans="1:54" x14ac:dyDescent="0.25">
      <c r="A385">
        <v>2008</v>
      </c>
      <c r="B385" t="s">
        <v>1065</v>
      </c>
      <c r="C385">
        <v>47.31</v>
      </c>
      <c r="D385">
        <v>0.54</v>
      </c>
      <c r="E385">
        <v>1</v>
      </c>
      <c r="F385">
        <v>0.03</v>
      </c>
      <c r="G385">
        <v>8.92</v>
      </c>
      <c r="H385">
        <v>0.19</v>
      </c>
      <c r="I385">
        <v>0.3</v>
      </c>
      <c r="J385">
        <v>0.01</v>
      </c>
      <c r="K385">
        <v>20.47</v>
      </c>
      <c r="L385">
        <v>0.26</v>
      </c>
      <c r="M385">
        <v>0.25</v>
      </c>
      <c r="N385">
        <v>0.01</v>
      </c>
      <c r="O385">
        <v>5.59</v>
      </c>
      <c r="P385">
        <v>0.17</v>
      </c>
      <c r="Q385">
        <v>3.3</v>
      </c>
      <c r="R385">
        <v>0.04</v>
      </c>
      <c r="S385">
        <v>2.69</v>
      </c>
      <c r="T385">
        <v>0.14000000000000001</v>
      </c>
      <c r="U385">
        <v>1.05</v>
      </c>
      <c r="V385">
        <v>0.04</v>
      </c>
      <c r="W385">
        <v>0.99</v>
      </c>
      <c r="X385">
        <v>7.0000000000000007E-2</v>
      </c>
      <c r="Y385">
        <v>5.83</v>
      </c>
      <c r="Z385">
        <v>0.08</v>
      </c>
      <c r="AA385">
        <v>2.0499999999999998</v>
      </c>
      <c r="AB385">
        <v>0.03</v>
      </c>
      <c r="AW385">
        <v>1010</v>
      </c>
      <c r="AX385">
        <v>54</v>
      </c>
      <c r="AY385">
        <v>881</v>
      </c>
      <c r="AZ385">
        <v>30</v>
      </c>
      <c r="BA385">
        <v>35</v>
      </c>
      <c r="BB385">
        <v>5</v>
      </c>
    </row>
    <row r="386" spans="1:54" x14ac:dyDescent="0.25">
      <c r="A386">
        <v>2013</v>
      </c>
      <c r="B386" t="s">
        <v>1066</v>
      </c>
      <c r="C386">
        <v>51.08</v>
      </c>
      <c r="D386">
        <v>0.54</v>
      </c>
      <c r="E386">
        <v>1.03</v>
      </c>
      <c r="F386">
        <v>0.03</v>
      </c>
      <c r="G386">
        <v>9.8000000000000007</v>
      </c>
      <c r="H386">
        <v>0.28999999999999998</v>
      </c>
      <c r="I386">
        <v>0.3</v>
      </c>
      <c r="J386">
        <v>0.01</v>
      </c>
      <c r="K386">
        <v>18.100000000000001</v>
      </c>
      <c r="L386">
        <v>0.2</v>
      </c>
      <c r="M386">
        <v>0.27</v>
      </c>
      <c r="N386">
        <v>0.01</v>
      </c>
      <c r="O386">
        <v>5.05</v>
      </c>
      <c r="P386">
        <v>0.17</v>
      </c>
      <c r="Q386">
        <v>3.87</v>
      </c>
      <c r="R386">
        <v>0.04</v>
      </c>
      <c r="S386">
        <v>2.64</v>
      </c>
      <c r="T386">
        <v>0.14000000000000001</v>
      </c>
      <c r="U386">
        <v>1.03</v>
      </c>
      <c r="V386">
        <v>0.04</v>
      </c>
      <c r="W386">
        <v>0.87</v>
      </c>
      <c r="X386">
        <v>0.05</v>
      </c>
      <c r="Y386">
        <v>4.9400000000000004</v>
      </c>
      <c r="Z386">
        <v>0.08</v>
      </c>
      <c r="AA386">
        <v>0.74</v>
      </c>
      <c r="AB386">
        <v>0.02</v>
      </c>
      <c r="AW386">
        <v>921</v>
      </c>
      <c r="AX386">
        <v>49</v>
      </c>
      <c r="AY386">
        <v>952</v>
      </c>
      <c r="AZ386">
        <v>30</v>
      </c>
      <c r="BA386">
        <v>55</v>
      </c>
      <c r="BB386">
        <v>5</v>
      </c>
    </row>
    <row r="387" spans="1:54" x14ac:dyDescent="0.25">
      <c r="A387">
        <v>2015</v>
      </c>
      <c r="B387" t="s">
        <v>1067</v>
      </c>
      <c r="C387">
        <v>46.61</v>
      </c>
      <c r="D387">
        <v>0.54</v>
      </c>
      <c r="E387">
        <v>0.86</v>
      </c>
      <c r="F387">
        <v>0.03</v>
      </c>
      <c r="G387">
        <v>14.09</v>
      </c>
      <c r="H387">
        <v>0.28999999999999998</v>
      </c>
      <c r="I387">
        <v>0.05</v>
      </c>
      <c r="J387">
        <v>0.01</v>
      </c>
      <c r="K387">
        <v>16.260000000000002</v>
      </c>
      <c r="L387">
        <v>0.2</v>
      </c>
      <c r="M387">
        <v>0.38</v>
      </c>
      <c r="N387">
        <v>0.01</v>
      </c>
      <c r="O387">
        <v>4.93</v>
      </c>
      <c r="P387">
        <v>0.17</v>
      </c>
      <c r="Q387">
        <v>10.79</v>
      </c>
      <c r="R387">
        <v>0.11</v>
      </c>
      <c r="S387">
        <v>2.91</v>
      </c>
      <c r="T387">
        <v>0.14000000000000001</v>
      </c>
      <c r="U387">
        <v>0.1</v>
      </c>
      <c r="V387">
        <v>7.0000000000000007E-2</v>
      </c>
      <c r="W387">
        <v>0.5</v>
      </c>
      <c r="X387">
        <v>0.05</v>
      </c>
      <c r="Y387">
        <v>2.11</v>
      </c>
      <c r="Z387">
        <v>0.05</v>
      </c>
      <c r="AA387">
        <v>0.34</v>
      </c>
      <c r="AB387">
        <v>0.02</v>
      </c>
      <c r="AW387">
        <v>27</v>
      </c>
      <c r="AX387">
        <v>24</v>
      </c>
      <c r="AY387">
        <v>63</v>
      </c>
      <c r="AZ387">
        <v>10</v>
      </c>
      <c r="BA387">
        <v>12</v>
      </c>
      <c r="BB387">
        <v>10</v>
      </c>
    </row>
    <row r="388" spans="1:54" x14ac:dyDescent="0.25">
      <c r="A388">
        <v>2015</v>
      </c>
      <c r="B388" t="s">
        <v>1068</v>
      </c>
      <c r="C388">
        <v>51.79</v>
      </c>
      <c r="D388">
        <v>0.54</v>
      </c>
      <c r="E388">
        <v>0.6</v>
      </c>
      <c r="F388">
        <v>0.03</v>
      </c>
      <c r="G388">
        <v>15.9</v>
      </c>
      <c r="H388">
        <v>0.38</v>
      </c>
      <c r="I388">
        <v>0.03</v>
      </c>
      <c r="J388">
        <v>0.01</v>
      </c>
      <c r="K388">
        <v>10.98</v>
      </c>
      <c r="L388">
        <v>0.13</v>
      </c>
      <c r="M388">
        <v>0.19</v>
      </c>
      <c r="N388">
        <v>0.01</v>
      </c>
      <c r="O388">
        <v>2.97</v>
      </c>
      <c r="P388">
        <v>0.08</v>
      </c>
      <c r="Q388">
        <v>5.86</v>
      </c>
      <c r="R388">
        <v>7.0000000000000007E-2</v>
      </c>
      <c r="S388">
        <v>6.31</v>
      </c>
      <c r="T388">
        <v>0.2</v>
      </c>
      <c r="U388">
        <v>1.89</v>
      </c>
      <c r="V388">
        <v>0.06</v>
      </c>
      <c r="W388">
        <v>0.6</v>
      </c>
      <c r="X388">
        <v>0.05</v>
      </c>
      <c r="Y388">
        <v>2.23</v>
      </c>
      <c r="Z388">
        <v>0.05</v>
      </c>
      <c r="AA388">
        <v>0.55000000000000004</v>
      </c>
      <c r="AB388">
        <v>0.02</v>
      </c>
      <c r="AW388">
        <v>51</v>
      </c>
      <c r="AX388">
        <v>10</v>
      </c>
      <c r="AY388">
        <v>318</v>
      </c>
      <c r="AZ388">
        <v>10</v>
      </c>
      <c r="BA388">
        <v>32</v>
      </c>
      <c r="BB388">
        <v>5</v>
      </c>
    </row>
    <row r="389" spans="1:54" x14ac:dyDescent="0.25">
      <c r="A389">
        <v>2018</v>
      </c>
      <c r="B389" t="s">
        <v>1069</v>
      </c>
      <c r="C389">
        <v>61.77</v>
      </c>
      <c r="D389">
        <v>0.64</v>
      </c>
      <c r="E389">
        <v>0.39</v>
      </c>
      <c r="F389">
        <v>0.02</v>
      </c>
      <c r="G389">
        <v>9.18</v>
      </c>
      <c r="H389">
        <v>0.19</v>
      </c>
      <c r="I389">
        <v>0.05</v>
      </c>
      <c r="J389">
        <v>0.01</v>
      </c>
      <c r="K389">
        <v>3.36</v>
      </c>
      <c r="L389">
        <v>7.0000000000000007E-2</v>
      </c>
      <c r="M389">
        <v>0.13</v>
      </c>
      <c r="N389">
        <v>0.01</v>
      </c>
      <c r="O389">
        <v>2.4300000000000002</v>
      </c>
      <c r="P389">
        <v>0.08</v>
      </c>
      <c r="Q389">
        <v>6.27</v>
      </c>
      <c r="R389">
        <v>7.0000000000000007E-2</v>
      </c>
      <c r="S389">
        <v>3.32</v>
      </c>
      <c r="T389">
        <v>0.14000000000000001</v>
      </c>
      <c r="U389">
        <v>1.6</v>
      </c>
      <c r="V389">
        <v>0.05</v>
      </c>
      <c r="W389">
        <v>0.78</v>
      </c>
      <c r="X389">
        <v>0.05</v>
      </c>
      <c r="Y389">
        <v>9.7200000000000006</v>
      </c>
      <c r="Z389">
        <v>0.1</v>
      </c>
      <c r="AA389">
        <v>0.87</v>
      </c>
      <c r="AB389">
        <v>0.02</v>
      </c>
      <c r="AW389">
        <v>32</v>
      </c>
      <c r="AX389">
        <v>24</v>
      </c>
      <c r="AY389">
        <v>136</v>
      </c>
      <c r="AZ389">
        <v>5</v>
      </c>
      <c r="BA389">
        <v>82</v>
      </c>
      <c r="BB389">
        <v>5</v>
      </c>
    </row>
    <row r="390" spans="1:54" x14ac:dyDescent="0.25">
      <c r="A390">
        <v>2019</v>
      </c>
      <c r="B390" t="s">
        <v>1070</v>
      </c>
      <c r="C390">
        <v>65.62</v>
      </c>
      <c r="D390">
        <v>0.75</v>
      </c>
      <c r="E390">
        <v>1.24</v>
      </c>
      <c r="F390">
        <v>0.05</v>
      </c>
      <c r="G390">
        <v>10.050000000000001</v>
      </c>
      <c r="H390">
        <v>0.28999999999999998</v>
      </c>
      <c r="I390">
        <v>0.1</v>
      </c>
      <c r="J390">
        <v>0.01</v>
      </c>
      <c r="K390">
        <v>6.58</v>
      </c>
      <c r="L390">
        <v>0.13</v>
      </c>
      <c r="M390">
        <v>0.08</v>
      </c>
      <c r="N390">
        <v>0.01</v>
      </c>
      <c r="O390">
        <v>2.44</v>
      </c>
      <c r="P390">
        <v>0.08</v>
      </c>
      <c r="Q390">
        <v>2.5</v>
      </c>
      <c r="R390">
        <v>0.04</v>
      </c>
      <c r="S390">
        <v>4.03</v>
      </c>
      <c r="T390">
        <v>0.14000000000000001</v>
      </c>
      <c r="U390">
        <v>1.75</v>
      </c>
      <c r="V390">
        <v>0.06</v>
      </c>
      <c r="W390">
        <v>1.07</v>
      </c>
      <c r="X390">
        <v>7.0000000000000007E-2</v>
      </c>
      <c r="Y390">
        <v>3.35</v>
      </c>
      <c r="Z390">
        <v>0.08</v>
      </c>
      <c r="AA390">
        <v>0.91</v>
      </c>
      <c r="AB390">
        <v>0.03</v>
      </c>
      <c r="AW390">
        <v>172</v>
      </c>
      <c r="AX390">
        <v>15</v>
      </c>
      <c r="AY390">
        <v>379</v>
      </c>
      <c r="AZ390">
        <v>15</v>
      </c>
      <c r="BA390">
        <v>114</v>
      </c>
      <c r="BB390">
        <v>5</v>
      </c>
    </row>
    <row r="391" spans="1:54" x14ac:dyDescent="0.25">
      <c r="A391">
        <v>2019</v>
      </c>
      <c r="B391" t="s">
        <v>1071</v>
      </c>
      <c r="C391">
        <v>43.62</v>
      </c>
      <c r="D391">
        <v>0.54</v>
      </c>
      <c r="E391">
        <v>0.84</v>
      </c>
      <c r="F391">
        <v>0.03</v>
      </c>
      <c r="G391">
        <v>9.09</v>
      </c>
      <c r="H391">
        <v>0.19</v>
      </c>
      <c r="I391">
        <v>0.41</v>
      </c>
      <c r="J391">
        <v>0.01</v>
      </c>
      <c r="K391">
        <v>18.739999999999998</v>
      </c>
      <c r="L391">
        <v>0.2</v>
      </c>
      <c r="M391">
        <v>0.43</v>
      </c>
      <c r="N391">
        <v>0.01</v>
      </c>
      <c r="O391">
        <v>10.119999999999999</v>
      </c>
      <c r="P391">
        <v>0.25</v>
      </c>
      <c r="Q391">
        <v>5.88</v>
      </c>
      <c r="R391">
        <v>7.0000000000000007E-2</v>
      </c>
      <c r="S391">
        <v>2.4900000000000002</v>
      </c>
      <c r="T391">
        <v>0.14000000000000001</v>
      </c>
      <c r="U391">
        <v>0.43</v>
      </c>
      <c r="V391">
        <v>0.02</v>
      </c>
      <c r="W391">
        <v>0.84</v>
      </c>
      <c r="X391">
        <v>0.05</v>
      </c>
      <c r="Y391">
        <v>5.46</v>
      </c>
      <c r="Z391">
        <v>0.1</v>
      </c>
      <c r="AA391">
        <v>1.5</v>
      </c>
      <c r="AB391">
        <v>0.03</v>
      </c>
      <c r="AW391">
        <v>485</v>
      </c>
      <c r="AX391">
        <v>24</v>
      </c>
      <c r="AY391">
        <v>359</v>
      </c>
      <c r="AZ391">
        <v>15</v>
      </c>
      <c r="BA391">
        <v>242</v>
      </c>
      <c r="BB391">
        <v>10</v>
      </c>
    </row>
    <row r="392" spans="1:54" x14ac:dyDescent="0.25">
      <c r="A392">
        <v>2019</v>
      </c>
      <c r="B392" t="s">
        <v>1072</v>
      </c>
      <c r="C392">
        <v>43.98</v>
      </c>
      <c r="D392">
        <v>0.54</v>
      </c>
      <c r="E392">
        <v>0.91</v>
      </c>
      <c r="F392">
        <v>0.03</v>
      </c>
      <c r="G392">
        <v>9.59</v>
      </c>
      <c r="H392">
        <v>0.28999999999999998</v>
      </c>
      <c r="I392">
        <v>0.34</v>
      </c>
      <c r="J392">
        <v>0.01</v>
      </c>
      <c r="K392">
        <v>20.14</v>
      </c>
      <c r="L392">
        <v>0.26</v>
      </c>
      <c r="M392">
        <v>0.48</v>
      </c>
      <c r="N392">
        <v>0.01</v>
      </c>
      <c r="O392">
        <v>7.1</v>
      </c>
      <c r="P392">
        <v>0.17</v>
      </c>
      <c r="Q392">
        <v>6.37</v>
      </c>
      <c r="R392">
        <v>7.0000000000000007E-2</v>
      </c>
      <c r="S392">
        <v>3.07</v>
      </c>
      <c r="T392">
        <v>0.14000000000000001</v>
      </c>
      <c r="U392">
        <v>2.4</v>
      </c>
      <c r="V392">
        <v>7.0000000000000007E-2</v>
      </c>
      <c r="W392">
        <v>1.07</v>
      </c>
      <c r="X392">
        <v>7.0000000000000007E-2</v>
      </c>
      <c r="Y392">
        <v>3.29</v>
      </c>
      <c r="Z392">
        <v>0.05</v>
      </c>
      <c r="AA392">
        <v>0.97</v>
      </c>
      <c r="AB392">
        <v>0.02</v>
      </c>
      <c r="AW392">
        <v>362</v>
      </c>
      <c r="AX392">
        <v>20</v>
      </c>
      <c r="AY392">
        <v>1262</v>
      </c>
      <c r="AZ392">
        <v>40</v>
      </c>
      <c r="BA392">
        <v>34</v>
      </c>
      <c r="BB392">
        <v>5</v>
      </c>
    </row>
    <row r="393" spans="1:54" x14ac:dyDescent="0.25">
      <c r="A393">
        <v>2022</v>
      </c>
      <c r="B393" t="s">
        <v>1073</v>
      </c>
      <c r="C393">
        <v>49.71</v>
      </c>
      <c r="D393">
        <v>0.54</v>
      </c>
      <c r="E393">
        <v>0.72</v>
      </c>
      <c r="F393">
        <v>0.03</v>
      </c>
      <c r="G393">
        <v>14.44</v>
      </c>
      <c r="H393">
        <v>0.38</v>
      </c>
      <c r="I393">
        <v>0.04</v>
      </c>
      <c r="J393">
        <v>0.01</v>
      </c>
      <c r="K393">
        <v>11.36</v>
      </c>
      <c r="L393">
        <v>0.13</v>
      </c>
      <c r="M393">
        <v>0.24</v>
      </c>
      <c r="N393">
        <v>0.01</v>
      </c>
      <c r="O393">
        <v>3.89</v>
      </c>
      <c r="P393">
        <v>0.08</v>
      </c>
      <c r="Q393">
        <v>6.72</v>
      </c>
      <c r="R393">
        <v>7.0000000000000007E-2</v>
      </c>
      <c r="S393">
        <v>5.75</v>
      </c>
      <c r="T393">
        <v>0.2</v>
      </c>
      <c r="U393">
        <v>2.35</v>
      </c>
      <c r="V393">
        <v>7.0000000000000007E-2</v>
      </c>
      <c r="W393">
        <v>1.28</v>
      </c>
      <c r="X393">
        <v>7.0000000000000007E-2</v>
      </c>
      <c r="Y393">
        <v>2.5099999999999998</v>
      </c>
      <c r="Z393">
        <v>0.05</v>
      </c>
      <c r="AA393">
        <v>0.89</v>
      </c>
      <c r="AB393">
        <v>0.02</v>
      </c>
      <c r="AW393">
        <v>59</v>
      </c>
      <c r="AX393">
        <v>10</v>
      </c>
      <c r="AY393">
        <v>185</v>
      </c>
      <c r="AZ393">
        <v>10</v>
      </c>
      <c r="BA393">
        <v>60</v>
      </c>
      <c r="BB393">
        <v>5</v>
      </c>
    </row>
    <row r="394" spans="1:54" x14ac:dyDescent="0.25">
      <c r="A394">
        <v>2025</v>
      </c>
      <c r="B394" t="s">
        <v>1074</v>
      </c>
      <c r="C394">
        <v>43.44</v>
      </c>
      <c r="D394">
        <v>0.54</v>
      </c>
      <c r="E394">
        <v>0.9</v>
      </c>
      <c r="F394">
        <v>0.03</v>
      </c>
      <c r="G394">
        <v>8.2899999999999991</v>
      </c>
      <c r="H394">
        <v>0.19</v>
      </c>
      <c r="I394">
        <v>0.51</v>
      </c>
      <c r="J394">
        <v>0.03</v>
      </c>
      <c r="K394">
        <v>21.58</v>
      </c>
      <c r="L394">
        <v>0.26</v>
      </c>
      <c r="M394">
        <v>0.43</v>
      </c>
      <c r="N394">
        <v>0.01</v>
      </c>
      <c r="O394">
        <v>11.49</v>
      </c>
      <c r="P394">
        <v>0.25</v>
      </c>
      <c r="Q394">
        <v>6.84</v>
      </c>
      <c r="R394">
        <v>7.0000000000000007E-2</v>
      </c>
      <c r="S394">
        <v>2.37</v>
      </c>
      <c r="T394">
        <v>0.14000000000000001</v>
      </c>
      <c r="U394">
        <v>0.33</v>
      </c>
      <c r="V394">
        <v>0.01</v>
      </c>
      <c r="W394">
        <v>0.7</v>
      </c>
      <c r="X394">
        <v>0.05</v>
      </c>
      <c r="Y394">
        <v>2.57</v>
      </c>
      <c r="Z394">
        <v>0.08</v>
      </c>
      <c r="AA394">
        <v>0.41</v>
      </c>
      <c r="AB394">
        <v>0.02</v>
      </c>
      <c r="AW394">
        <v>768</v>
      </c>
      <c r="AX394">
        <v>40</v>
      </c>
      <c r="AY394">
        <v>153</v>
      </c>
      <c r="AZ394">
        <v>10</v>
      </c>
      <c r="BA394">
        <v>31</v>
      </c>
      <c r="BB394">
        <v>10</v>
      </c>
    </row>
    <row r="395" spans="1:54" x14ac:dyDescent="0.25">
      <c r="A395">
        <v>2026</v>
      </c>
      <c r="B395" t="s">
        <v>1075</v>
      </c>
      <c r="C395">
        <v>43.9</v>
      </c>
      <c r="D395">
        <v>0.54</v>
      </c>
      <c r="E395">
        <v>1.05</v>
      </c>
      <c r="F395">
        <v>0.03</v>
      </c>
      <c r="G395">
        <v>8.86</v>
      </c>
      <c r="H395">
        <v>0.19</v>
      </c>
      <c r="I395">
        <v>0.64</v>
      </c>
      <c r="J395">
        <v>0.01</v>
      </c>
      <c r="K395">
        <v>20.45</v>
      </c>
      <c r="L395">
        <v>0.26</v>
      </c>
      <c r="M395">
        <v>0.43</v>
      </c>
      <c r="N395">
        <v>0.01</v>
      </c>
      <c r="O395">
        <v>10.130000000000001</v>
      </c>
      <c r="P395">
        <v>0.25</v>
      </c>
      <c r="Q395">
        <v>7.24</v>
      </c>
      <c r="R395">
        <v>0.08</v>
      </c>
      <c r="S395">
        <v>2.4900000000000002</v>
      </c>
      <c r="T395">
        <v>0.14000000000000001</v>
      </c>
      <c r="U395">
        <v>0.38</v>
      </c>
      <c r="V395">
        <v>0.01</v>
      </c>
      <c r="W395">
        <v>0.76</v>
      </c>
      <c r="X395">
        <v>0.05</v>
      </c>
      <c r="Y395">
        <v>3.08</v>
      </c>
      <c r="Z395">
        <v>0.05</v>
      </c>
      <c r="AA395">
        <v>0.48</v>
      </c>
      <c r="AB395">
        <v>0.02</v>
      </c>
      <c r="AW395">
        <v>447</v>
      </c>
      <c r="AX395">
        <v>24</v>
      </c>
      <c r="AY395">
        <v>215</v>
      </c>
      <c r="AZ395">
        <v>10</v>
      </c>
      <c r="BA395">
        <v>26</v>
      </c>
      <c r="BB395">
        <v>5</v>
      </c>
    </row>
    <row r="396" spans="1:54" x14ac:dyDescent="0.25">
      <c r="A396">
        <v>2029</v>
      </c>
      <c r="B396" t="s">
        <v>1076</v>
      </c>
      <c r="C396">
        <v>47.19</v>
      </c>
      <c r="D396">
        <v>0.54</v>
      </c>
      <c r="E396">
        <v>1.07</v>
      </c>
      <c r="F396">
        <v>0.03</v>
      </c>
      <c r="G396">
        <v>9.07</v>
      </c>
      <c r="H396">
        <v>0.19</v>
      </c>
      <c r="I396">
        <v>0.32</v>
      </c>
      <c r="J396">
        <v>0.01</v>
      </c>
      <c r="K396">
        <v>19.72</v>
      </c>
      <c r="L396">
        <v>0.26</v>
      </c>
      <c r="M396">
        <v>0.2</v>
      </c>
      <c r="N396">
        <v>0.01</v>
      </c>
      <c r="O396">
        <v>4.99</v>
      </c>
      <c r="P396">
        <v>0.17</v>
      </c>
      <c r="Q396">
        <v>3.33</v>
      </c>
      <c r="R396">
        <v>0.04</v>
      </c>
      <c r="S396">
        <v>2.98</v>
      </c>
      <c r="T396">
        <v>0.14000000000000001</v>
      </c>
      <c r="U396">
        <v>0.96</v>
      </c>
      <c r="V396">
        <v>0.04</v>
      </c>
      <c r="W396">
        <v>0.8</v>
      </c>
      <c r="X396">
        <v>0.05</v>
      </c>
      <c r="Y396">
        <v>6.65</v>
      </c>
      <c r="Z396">
        <v>0.1</v>
      </c>
      <c r="AA396">
        <v>2.4500000000000002</v>
      </c>
      <c r="AB396">
        <v>0.03</v>
      </c>
      <c r="AW396">
        <v>992</v>
      </c>
      <c r="AX396">
        <v>49</v>
      </c>
      <c r="AY396">
        <v>1093</v>
      </c>
      <c r="AZ396">
        <v>35</v>
      </c>
      <c r="BA396">
        <v>38</v>
      </c>
      <c r="BB396">
        <v>5</v>
      </c>
    </row>
    <row r="397" spans="1:54" x14ac:dyDescent="0.25">
      <c r="A397">
        <v>2038</v>
      </c>
      <c r="B397" t="s">
        <v>1077</v>
      </c>
      <c r="C397">
        <v>46.81</v>
      </c>
      <c r="D397">
        <v>0.54</v>
      </c>
      <c r="E397">
        <v>1.05</v>
      </c>
      <c r="F397">
        <v>0.03</v>
      </c>
      <c r="G397">
        <v>9.09</v>
      </c>
      <c r="H397">
        <v>0.19</v>
      </c>
      <c r="I397">
        <v>0.32</v>
      </c>
      <c r="J397">
        <v>0.01</v>
      </c>
      <c r="K397">
        <v>21.9</v>
      </c>
      <c r="L397">
        <v>0.26</v>
      </c>
      <c r="M397">
        <v>0.1</v>
      </c>
      <c r="N397">
        <v>0.01</v>
      </c>
      <c r="O397">
        <v>5.38</v>
      </c>
      <c r="P397">
        <v>0.17</v>
      </c>
      <c r="Q397">
        <v>3.15</v>
      </c>
      <c r="R397">
        <v>0.04</v>
      </c>
      <c r="S397">
        <v>2.76</v>
      </c>
      <c r="T397">
        <v>0.14000000000000001</v>
      </c>
      <c r="U397">
        <v>0.82</v>
      </c>
      <c r="V397">
        <v>0.04</v>
      </c>
      <c r="W397">
        <v>1.1100000000000001</v>
      </c>
      <c r="X397">
        <v>7.0000000000000007E-2</v>
      </c>
      <c r="Y397">
        <v>5.48</v>
      </c>
      <c r="Z397">
        <v>0.08</v>
      </c>
      <c r="AA397">
        <v>1.7</v>
      </c>
      <c r="AB397">
        <v>0.03</v>
      </c>
      <c r="AW397">
        <v>838</v>
      </c>
      <c r="AX397">
        <v>44</v>
      </c>
      <c r="AY397">
        <v>1229</v>
      </c>
      <c r="AZ397">
        <v>40</v>
      </c>
      <c r="BA397">
        <v>148</v>
      </c>
      <c r="BB397">
        <v>5</v>
      </c>
    </row>
    <row r="398" spans="1:54" x14ac:dyDescent="0.25">
      <c r="A398">
        <v>2042</v>
      </c>
      <c r="B398" t="s">
        <v>1078</v>
      </c>
      <c r="C398">
        <v>45.13</v>
      </c>
      <c r="D398">
        <v>0.54</v>
      </c>
      <c r="E398">
        <v>1.04</v>
      </c>
      <c r="F398">
        <v>0.03</v>
      </c>
      <c r="G398">
        <v>8.6199999999999992</v>
      </c>
      <c r="H398">
        <v>0.19</v>
      </c>
      <c r="I398">
        <v>0.31</v>
      </c>
      <c r="J398">
        <v>0.01</v>
      </c>
      <c r="K398">
        <v>20</v>
      </c>
      <c r="L398">
        <v>0.26</v>
      </c>
      <c r="M398">
        <v>0.12</v>
      </c>
      <c r="N398">
        <v>0.01</v>
      </c>
      <c r="O398">
        <v>4.74</v>
      </c>
      <c r="P398">
        <v>0.17</v>
      </c>
      <c r="Q398">
        <v>4.83</v>
      </c>
      <c r="R398">
        <v>0.06</v>
      </c>
      <c r="S398">
        <v>2.74</v>
      </c>
      <c r="T398">
        <v>0.14000000000000001</v>
      </c>
      <c r="U398">
        <v>0.82</v>
      </c>
      <c r="V398">
        <v>0.04</v>
      </c>
      <c r="W398">
        <v>0.91</v>
      </c>
      <c r="X398">
        <v>0.05</v>
      </c>
      <c r="Y398">
        <v>7.9</v>
      </c>
      <c r="Z398">
        <v>0.1</v>
      </c>
      <c r="AA398">
        <v>2.5</v>
      </c>
      <c r="AB398">
        <v>0.03</v>
      </c>
      <c r="AW398">
        <v>939</v>
      </c>
      <c r="AX398">
        <v>49</v>
      </c>
      <c r="AY398">
        <v>1307</v>
      </c>
      <c r="AZ398">
        <v>40</v>
      </c>
      <c r="BA398">
        <v>200</v>
      </c>
      <c r="BB398">
        <v>10</v>
      </c>
    </row>
    <row r="399" spans="1:54" x14ac:dyDescent="0.25">
      <c r="A399">
        <v>2042</v>
      </c>
      <c r="B399" t="s">
        <v>1079</v>
      </c>
      <c r="C399">
        <v>43.64</v>
      </c>
      <c r="D399">
        <v>0.54</v>
      </c>
      <c r="E399">
        <v>1.01</v>
      </c>
      <c r="F399">
        <v>0.03</v>
      </c>
      <c r="G399">
        <v>8.58</v>
      </c>
      <c r="H399">
        <v>0.19</v>
      </c>
      <c r="I399">
        <v>0.32</v>
      </c>
      <c r="J399">
        <v>0.01</v>
      </c>
      <c r="K399">
        <v>21.28</v>
      </c>
      <c r="L399">
        <v>0.26</v>
      </c>
      <c r="M399">
        <v>0.12</v>
      </c>
      <c r="N399">
        <v>0.01</v>
      </c>
      <c r="O399">
        <v>4.7</v>
      </c>
      <c r="P399">
        <v>0.17</v>
      </c>
      <c r="Q399">
        <v>4.6500000000000004</v>
      </c>
      <c r="R399">
        <v>0.06</v>
      </c>
      <c r="S399">
        <v>2.64</v>
      </c>
      <c r="T399">
        <v>0.14000000000000001</v>
      </c>
      <c r="U399">
        <v>0.81</v>
      </c>
      <c r="V399">
        <v>0.04</v>
      </c>
      <c r="W399">
        <v>1.25</v>
      </c>
      <c r="X399">
        <v>7.0000000000000007E-2</v>
      </c>
      <c r="Y399">
        <v>7.99</v>
      </c>
      <c r="Z399">
        <v>0.1</v>
      </c>
      <c r="AA399">
        <v>2.68</v>
      </c>
      <c r="AB399">
        <v>0.03</v>
      </c>
      <c r="AW399">
        <v>864</v>
      </c>
      <c r="AX399">
        <v>44</v>
      </c>
      <c r="AY399">
        <v>1164</v>
      </c>
      <c r="AZ399">
        <v>35</v>
      </c>
      <c r="BA399">
        <v>160</v>
      </c>
      <c r="BB399">
        <v>5</v>
      </c>
    </row>
    <row r="400" spans="1:54" x14ac:dyDescent="0.25">
      <c r="A400">
        <v>2048</v>
      </c>
      <c r="B400" t="s">
        <v>1080</v>
      </c>
      <c r="C400">
        <v>21.69</v>
      </c>
      <c r="D400">
        <v>0.32</v>
      </c>
      <c r="E400">
        <v>0.5</v>
      </c>
      <c r="F400">
        <v>0.03</v>
      </c>
      <c r="G400">
        <v>4.17</v>
      </c>
      <c r="H400">
        <v>0.1</v>
      </c>
      <c r="I400">
        <v>0.17</v>
      </c>
      <c r="J400">
        <v>0.01</v>
      </c>
      <c r="K400">
        <v>16.579999999999998</v>
      </c>
      <c r="L400">
        <v>0.2</v>
      </c>
      <c r="M400">
        <v>0.17</v>
      </c>
      <c r="N400">
        <v>0.01</v>
      </c>
      <c r="O400">
        <v>3.3</v>
      </c>
      <c r="P400">
        <v>0.08</v>
      </c>
      <c r="Q400">
        <v>17.93</v>
      </c>
      <c r="R400">
        <v>0.18</v>
      </c>
      <c r="S400">
        <v>1.86</v>
      </c>
      <c r="T400">
        <v>0.14000000000000001</v>
      </c>
      <c r="U400">
        <v>0.27</v>
      </c>
      <c r="V400">
        <v>0.01</v>
      </c>
      <c r="W400">
        <v>1.58</v>
      </c>
      <c r="X400">
        <v>0.09</v>
      </c>
      <c r="Y400">
        <v>29.86</v>
      </c>
      <c r="Z400">
        <v>0.3</v>
      </c>
      <c r="AA400">
        <v>1.71</v>
      </c>
      <c r="AB400">
        <v>0.03</v>
      </c>
      <c r="AW400">
        <v>375</v>
      </c>
      <c r="AX400">
        <v>20</v>
      </c>
      <c r="AY400">
        <v>610</v>
      </c>
      <c r="AZ400">
        <v>20</v>
      </c>
      <c r="BA400">
        <v>270</v>
      </c>
      <c r="BB400">
        <v>10</v>
      </c>
    </row>
    <row r="401" spans="1:54" x14ac:dyDescent="0.25">
      <c r="A401">
        <v>2048</v>
      </c>
      <c r="B401" t="s">
        <v>1081</v>
      </c>
      <c r="C401">
        <v>35.450000000000003</v>
      </c>
      <c r="D401">
        <v>0.43</v>
      </c>
      <c r="E401">
        <v>0.84</v>
      </c>
      <c r="F401">
        <v>0.03</v>
      </c>
      <c r="G401">
        <v>6.27</v>
      </c>
      <c r="H401">
        <v>0.19</v>
      </c>
      <c r="I401">
        <v>0.25</v>
      </c>
      <c r="J401">
        <v>0.01</v>
      </c>
      <c r="K401">
        <v>19.010000000000002</v>
      </c>
      <c r="L401">
        <v>0.2</v>
      </c>
      <c r="M401">
        <v>0.17</v>
      </c>
      <c r="N401">
        <v>0.01</v>
      </c>
      <c r="O401">
        <v>3.87</v>
      </c>
      <c r="P401">
        <v>0.08</v>
      </c>
      <c r="Q401">
        <v>10.47</v>
      </c>
      <c r="R401">
        <v>0.11</v>
      </c>
      <c r="S401">
        <v>1.74</v>
      </c>
      <c r="T401">
        <v>7.0000000000000007E-2</v>
      </c>
      <c r="U401">
        <v>0.64</v>
      </c>
      <c r="V401">
        <v>0.02</v>
      </c>
      <c r="W401">
        <v>1.65</v>
      </c>
      <c r="X401">
        <v>0.09</v>
      </c>
      <c r="Y401">
        <v>18.46</v>
      </c>
      <c r="Z401">
        <v>0.2</v>
      </c>
      <c r="AA401">
        <v>0.89</v>
      </c>
      <c r="AB401">
        <v>0.02</v>
      </c>
      <c r="AW401">
        <v>646</v>
      </c>
      <c r="AX401">
        <v>35</v>
      </c>
      <c r="AY401">
        <v>917</v>
      </c>
      <c r="AZ401">
        <v>30</v>
      </c>
      <c r="BA401">
        <v>337</v>
      </c>
      <c r="BB401">
        <v>15</v>
      </c>
    </row>
    <row r="402" spans="1:54" x14ac:dyDescent="0.25">
      <c r="A402">
        <v>2049</v>
      </c>
      <c r="B402" t="s">
        <v>1082</v>
      </c>
      <c r="C402">
        <v>46.11</v>
      </c>
      <c r="D402">
        <v>0.54</v>
      </c>
      <c r="E402">
        <v>1.06</v>
      </c>
      <c r="F402">
        <v>0.03</v>
      </c>
      <c r="G402">
        <v>8.58</v>
      </c>
      <c r="H402">
        <v>0.19</v>
      </c>
      <c r="I402">
        <v>0.31</v>
      </c>
      <c r="J402">
        <v>0.01</v>
      </c>
      <c r="K402">
        <v>23.79</v>
      </c>
      <c r="L402">
        <v>0.26</v>
      </c>
      <c r="M402">
        <v>0.15</v>
      </c>
      <c r="N402">
        <v>0.01</v>
      </c>
      <c r="O402">
        <v>5.42</v>
      </c>
      <c r="P402">
        <v>0.17</v>
      </c>
      <c r="Q402">
        <v>3.89</v>
      </c>
      <c r="R402">
        <v>0.04</v>
      </c>
      <c r="S402">
        <v>2.36</v>
      </c>
      <c r="T402">
        <v>0.14000000000000001</v>
      </c>
      <c r="U402">
        <v>0.78</v>
      </c>
      <c r="V402">
        <v>0.02</v>
      </c>
      <c r="W402">
        <v>1.1599999999999999</v>
      </c>
      <c r="X402">
        <v>7.0000000000000007E-2</v>
      </c>
      <c r="Y402">
        <v>5.34</v>
      </c>
      <c r="Z402">
        <v>0.1</v>
      </c>
      <c r="AA402">
        <v>0.75</v>
      </c>
      <c r="AB402">
        <v>0.02</v>
      </c>
      <c r="AW402">
        <v>895</v>
      </c>
      <c r="AX402">
        <v>44</v>
      </c>
      <c r="AY402">
        <v>1067</v>
      </c>
      <c r="AZ402">
        <v>35</v>
      </c>
      <c r="BA402">
        <v>126</v>
      </c>
      <c r="BB402">
        <v>5</v>
      </c>
    </row>
    <row r="403" spans="1:54" x14ac:dyDescent="0.25">
      <c r="A403">
        <v>2049</v>
      </c>
      <c r="B403" t="s">
        <v>1083</v>
      </c>
      <c r="C403">
        <v>50.22</v>
      </c>
      <c r="D403">
        <v>0.54</v>
      </c>
      <c r="E403">
        <v>1.1499999999999999</v>
      </c>
      <c r="F403">
        <v>0.05</v>
      </c>
      <c r="G403">
        <v>8.89</v>
      </c>
      <c r="H403">
        <v>0.19</v>
      </c>
      <c r="I403">
        <v>0.33</v>
      </c>
      <c r="J403">
        <v>0.01</v>
      </c>
      <c r="K403">
        <v>22.42</v>
      </c>
      <c r="L403">
        <v>0.26</v>
      </c>
      <c r="M403">
        <v>0.18</v>
      </c>
      <c r="N403">
        <v>0.01</v>
      </c>
      <c r="O403">
        <v>4.4000000000000004</v>
      </c>
      <c r="P403">
        <v>0.17</v>
      </c>
      <c r="Q403">
        <v>3.07</v>
      </c>
      <c r="R403">
        <v>0.04</v>
      </c>
      <c r="S403">
        <v>2.21</v>
      </c>
      <c r="T403">
        <v>7.0000000000000007E-2</v>
      </c>
      <c r="U403">
        <v>1.1200000000000001</v>
      </c>
      <c r="V403">
        <v>0.04</v>
      </c>
      <c r="W403">
        <v>1.1299999999999999</v>
      </c>
      <c r="X403">
        <v>7.0000000000000007E-2</v>
      </c>
      <c r="Y403">
        <v>3.84</v>
      </c>
      <c r="Z403">
        <v>0.05</v>
      </c>
      <c r="AA403">
        <v>0.67</v>
      </c>
      <c r="AB403">
        <v>0.02</v>
      </c>
      <c r="AW403">
        <v>938</v>
      </c>
      <c r="AX403">
        <v>49</v>
      </c>
      <c r="AY403">
        <v>1701</v>
      </c>
      <c r="AZ403">
        <v>54</v>
      </c>
      <c r="BA403">
        <v>231</v>
      </c>
      <c r="BB403">
        <v>10</v>
      </c>
    </row>
    <row r="404" spans="1:54" x14ac:dyDescent="0.25">
      <c r="A404">
        <v>2055</v>
      </c>
      <c r="B404" t="s">
        <v>1084</v>
      </c>
      <c r="C404">
        <v>52</v>
      </c>
      <c r="D404">
        <v>0.54</v>
      </c>
      <c r="E404">
        <v>1.1399999999999999</v>
      </c>
      <c r="F404">
        <v>0.05</v>
      </c>
      <c r="G404">
        <v>9.11</v>
      </c>
      <c r="H404">
        <v>0.19</v>
      </c>
      <c r="I404">
        <v>0.34</v>
      </c>
      <c r="J404">
        <v>0.01</v>
      </c>
      <c r="K404">
        <v>23.65</v>
      </c>
      <c r="L404">
        <v>0.26</v>
      </c>
      <c r="M404">
        <v>0.19</v>
      </c>
      <c r="N404">
        <v>0.01</v>
      </c>
      <c r="O404">
        <v>3.43</v>
      </c>
      <c r="P404">
        <v>0.08</v>
      </c>
      <c r="Q404">
        <v>2.4700000000000002</v>
      </c>
      <c r="R404">
        <v>0.03</v>
      </c>
      <c r="S404">
        <v>2.2599999999999998</v>
      </c>
      <c r="T404">
        <v>0.14000000000000001</v>
      </c>
      <c r="U404">
        <v>1.1100000000000001</v>
      </c>
      <c r="V404">
        <v>0.04</v>
      </c>
      <c r="W404">
        <v>1.06</v>
      </c>
      <c r="X404">
        <v>7.0000000000000007E-2</v>
      </c>
      <c r="Y404">
        <v>2.2200000000000002</v>
      </c>
      <c r="Z404">
        <v>0.05</v>
      </c>
      <c r="AA404">
        <v>0.61</v>
      </c>
      <c r="AB404">
        <v>0.02</v>
      </c>
      <c r="AW404">
        <v>938</v>
      </c>
      <c r="AX404">
        <v>49</v>
      </c>
      <c r="AY404">
        <v>1565</v>
      </c>
      <c r="AZ404">
        <v>49</v>
      </c>
      <c r="BA404">
        <v>373</v>
      </c>
      <c r="BB404">
        <v>15</v>
      </c>
    </row>
    <row r="405" spans="1:54" x14ac:dyDescent="0.25">
      <c r="A405">
        <v>2080</v>
      </c>
      <c r="B405" t="s">
        <v>1085</v>
      </c>
      <c r="C405">
        <v>41.87</v>
      </c>
      <c r="D405">
        <v>0.54</v>
      </c>
      <c r="E405">
        <v>1.06</v>
      </c>
      <c r="F405">
        <v>0.03</v>
      </c>
      <c r="G405">
        <v>7.8</v>
      </c>
      <c r="H405">
        <v>0.19</v>
      </c>
      <c r="I405">
        <v>0.34</v>
      </c>
      <c r="J405">
        <v>0.03</v>
      </c>
      <c r="K405">
        <v>22.33</v>
      </c>
      <c r="L405">
        <v>0.26</v>
      </c>
      <c r="M405">
        <v>0.26</v>
      </c>
      <c r="N405">
        <v>0.03</v>
      </c>
      <c r="O405">
        <v>2.76</v>
      </c>
      <c r="P405">
        <v>0.08</v>
      </c>
      <c r="Q405">
        <v>7.72</v>
      </c>
      <c r="R405">
        <v>0.08</v>
      </c>
      <c r="S405">
        <v>2.2999999999999998</v>
      </c>
      <c r="T405">
        <v>0.14000000000000001</v>
      </c>
      <c r="U405">
        <v>0.96</v>
      </c>
      <c r="V405">
        <v>0.04</v>
      </c>
      <c r="W405">
        <v>1.1100000000000001</v>
      </c>
      <c r="X405">
        <v>7.0000000000000007E-2</v>
      </c>
      <c r="Y405">
        <v>10.25</v>
      </c>
      <c r="Z405">
        <v>0.17</v>
      </c>
      <c r="AA405">
        <v>0.93</v>
      </c>
      <c r="AB405">
        <v>0.03</v>
      </c>
      <c r="AW405">
        <v>926</v>
      </c>
      <c r="AX405">
        <v>49</v>
      </c>
      <c r="AY405">
        <v>1326</v>
      </c>
      <c r="AZ405">
        <v>40</v>
      </c>
      <c r="BA405">
        <v>23</v>
      </c>
      <c r="BB405">
        <v>5</v>
      </c>
    </row>
    <row r="406" spans="1:54" x14ac:dyDescent="0.25">
      <c r="A406">
        <v>2080</v>
      </c>
      <c r="B406" t="s">
        <v>1086</v>
      </c>
      <c r="C406">
        <v>42.9</v>
      </c>
      <c r="D406">
        <v>0.54</v>
      </c>
      <c r="E406">
        <v>1.05</v>
      </c>
      <c r="F406">
        <v>0.03</v>
      </c>
      <c r="G406">
        <v>7.81</v>
      </c>
      <c r="H406">
        <v>0.19</v>
      </c>
      <c r="I406">
        <v>0.32</v>
      </c>
      <c r="J406">
        <v>0.01</v>
      </c>
      <c r="K406">
        <v>22.12</v>
      </c>
      <c r="L406">
        <v>0.26</v>
      </c>
      <c r="M406">
        <v>0.21</v>
      </c>
      <c r="N406">
        <v>0.01</v>
      </c>
      <c r="O406">
        <v>2.66</v>
      </c>
      <c r="P406">
        <v>0.08</v>
      </c>
      <c r="Q406">
        <v>7.52</v>
      </c>
      <c r="R406">
        <v>0.08</v>
      </c>
      <c r="S406">
        <v>2.2400000000000002</v>
      </c>
      <c r="T406">
        <v>7.0000000000000007E-2</v>
      </c>
      <c r="U406">
        <v>0.94</v>
      </c>
      <c r="V406">
        <v>0.04</v>
      </c>
      <c r="W406">
        <v>1.1100000000000001</v>
      </c>
      <c r="X406">
        <v>7.0000000000000007E-2</v>
      </c>
      <c r="Y406">
        <v>9.86</v>
      </c>
      <c r="Z406">
        <v>0.1</v>
      </c>
      <c r="AA406">
        <v>0.89</v>
      </c>
      <c r="AB406">
        <v>0.02</v>
      </c>
      <c r="AW406">
        <v>923</v>
      </c>
      <c r="AX406">
        <v>49</v>
      </c>
      <c r="AY406">
        <v>1421</v>
      </c>
      <c r="AZ406">
        <v>44</v>
      </c>
      <c r="BA406">
        <v>20</v>
      </c>
      <c r="BB406">
        <v>5</v>
      </c>
    </row>
    <row r="407" spans="1:54" x14ac:dyDescent="0.25">
      <c r="A407">
        <v>2090</v>
      </c>
      <c r="B407" t="s">
        <v>1087</v>
      </c>
      <c r="C407">
        <v>43.81</v>
      </c>
      <c r="D407">
        <v>0.54</v>
      </c>
      <c r="E407">
        <v>1.1200000000000001</v>
      </c>
      <c r="F407">
        <v>0.05</v>
      </c>
      <c r="G407">
        <v>8.11</v>
      </c>
      <c r="H407">
        <v>0.19</v>
      </c>
      <c r="I407">
        <v>0.4</v>
      </c>
      <c r="J407">
        <v>0.01</v>
      </c>
      <c r="K407">
        <v>23.44</v>
      </c>
      <c r="L407">
        <v>0.26</v>
      </c>
      <c r="M407">
        <v>0.22</v>
      </c>
      <c r="N407">
        <v>0.01</v>
      </c>
      <c r="O407">
        <v>7.2</v>
      </c>
      <c r="P407">
        <v>0.17</v>
      </c>
      <c r="Q407">
        <v>4.53</v>
      </c>
      <c r="R407">
        <v>0.06</v>
      </c>
      <c r="S407">
        <v>2.57</v>
      </c>
      <c r="T407">
        <v>0.14000000000000001</v>
      </c>
      <c r="U407">
        <v>0.72</v>
      </c>
      <c r="V407">
        <v>0.02</v>
      </c>
      <c r="W407">
        <v>0.94</v>
      </c>
      <c r="X407">
        <v>7.0000000000000007E-2</v>
      </c>
      <c r="Y407">
        <v>5.54</v>
      </c>
      <c r="Z407">
        <v>0.1</v>
      </c>
      <c r="AA407">
        <v>0.89</v>
      </c>
      <c r="AB407">
        <v>0.03</v>
      </c>
      <c r="AW407">
        <v>912</v>
      </c>
      <c r="AX407">
        <v>49</v>
      </c>
      <c r="AY407">
        <v>1448</v>
      </c>
      <c r="AZ407">
        <v>44</v>
      </c>
      <c r="BA407">
        <v>1395</v>
      </c>
      <c r="BB407">
        <v>44</v>
      </c>
    </row>
    <row r="408" spans="1:54" x14ac:dyDescent="0.25">
      <c r="A408">
        <v>2090</v>
      </c>
      <c r="B408" t="s">
        <v>1088</v>
      </c>
      <c r="C408">
        <v>41.05</v>
      </c>
      <c r="D408">
        <v>0.43</v>
      </c>
      <c r="E408">
        <v>1.01</v>
      </c>
      <c r="F408">
        <v>0.03</v>
      </c>
      <c r="G408">
        <v>7.22</v>
      </c>
      <c r="H408">
        <v>0.19</v>
      </c>
      <c r="I408">
        <v>0.3</v>
      </c>
      <c r="J408">
        <v>0.01</v>
      </c>
      <c r="K408">
        <v>21.49</v>
      </c>
      <c r="L408">
        <v>0.26</v>
      </c>
      <c r="M408">
        <v>0.19</v>
      </c>
      <c r="N408">
        <v>0.01</v>
      </c>
      <c r="O408">
        <v>3.8</v>
      </c>
      <c r="P408">
        <v>0.08</v>
      </c>
      <c r="Q408">
        <v>7.05</v>
      </c>
      <c r="R408">
        <v>0.08</v>
      </c>
      <c r="S408">
        <v>2.1</v>
      </c>
      <c r="T408">
        <v>7.0000000000000007E-2</v>
      </c>
      <c r="U408">
        <v>0.89</v>
      </c>
      <c r="V408">
        <v>0.04</v>
      </c>
      <c r="W408">
        <v>0.83</v>
      </c>
      <c r="X408">
        <v>0.05</v>
      </c>
      <c r="Y408">
        <v>12.65</v>
      </c>
      <c r="Z408">
        <v>0.15</v>
      </c>
      <c r="AA408">
        <v>1.05</v>
      </c>
      <c r="AB408">
        <v>0.02</v>
      </c>
      <c r="AW408">
        <v>767</v>
      </c>
      <c r="AX408">
        <v>40</v>
      </c>
      <c r="AY408">
        <v>1400</v>
      </c>
      <c r="AZ408">
        <v>44</v>
      </c>
      <c r="BA408">
        <v>785</v>
      </c>
      <c r="BB408">
        <v>24</v>
      </c>
    </row>
    <row r="409" spans="1:54" x14ac:dyDescent="0.25">
      <c r="A409">
        <v>2100</v>
      </c>
      <c r="B409" t="s">
        <v>1089</v>
      </c>
      <c r="C409">
        <v>47.05</v>
      </c>
      <c r="D409">
        <v>0.54</v>
      </c>
      <c r="E409">
        <v>1.07</v>
      </c>
      <c r="F409">
        <v>0.03</v>
      </c>
      <c r="G409">
        <v>8.8699999999999992</v>
      </c>
      <c r="H409">
        <v>0.19</v>
      </c>
      <c r="I409">
        <v>0.32</v>
      </c>
      <c r="J409">
        <v>0.01</v>
      </c>
      <c r="K409">
        <v>20.56</v>
      </c>
      <c r="L409">
        <v>0.26</v>
      </c>
      <c r="M409">
        <v>0.28999999999999998</v>
      </c>
      <c r="N409">
        <v>0.01</v>
      </c>
      <c r="O409">
        <v>5.05</v>
      </c>
      <c r="P409">
        <v>0.17</v>
      </c>
      <c r="Q409">
        <v>4.05</v>
      </c>
      <c r="R409">
        <v>0.04</v>
      </c>
      <c r="S409">
        <v>2.52</v>
      </c>
      <c r="T409">
        <v>0.14000000000000001</v>
      </c>
      <c r="U409">
        <v>1.07</v>
      </c>
      <c r="V409">
        <v>0.04</v>
      </c>
      <c r="W409">
        <v>0.75</v>
      </c>
      <c r="X409">
        <v>0.05</v>
      </c>
      <c r="Y409">
        <v>6.38</v>
      </c>
      <c r="Z409">
        <v>0.08</v>
      </c>
      <c r="AA409">
        <v>1.67</v>
      </c>
      <c r="AB409">
        <v>0.03</v>
      </c>
      <c r="AW409">
        <v>1006</v>
      </c>
      <c r="AX409">
        <v>54</v>
      </c>
      <c r="AY409">
        <v>1243</v>
      </c>
      <c r="AZ409">
        <v>40</v>
      </c>
      <c r="BA409">
        <v>93</v>
      </c>
      <c r="BB409">
        <v>5</v>
      </c>
    </row>
    <row r="410" spans="1:54" x14ac:dyDescent="0.25">
      <c r="A410">
        <v>2101</v>
      </c>
      <c r="B410" t="s">
        <v>1090</v>
      </c>
      <c r="C410">
        <v>42.25</v>
      </c>
      <c r="D410">
        <v>0.43</v>
      </c>
      <c r="E410">
        <v>1.04</v>
      </c>
      <c r="F410">
        <v>0.03</v>
      </c>
      <c r="G410">
        <v>8.33</v>
      </c>
      <c r="H410">
        <v>0.19</v>
      </c>
      <c r="I410">
        <v>0.33</v>
      </c>
      <c r="J410">
        <v>0.01</v>
      </c>
      <c r="K410">
        <v>20.21</v>
      </c>
      <c r="L410">
        <v>0.26</v>
      </c>
      <c r="M410">
        <v>0.32</v>
      </c>
      <c r="N410">
        <v>0.01</v>
      </c>
      <c r="O410">
        <v>6.73</v>
      </c>
      <c r="P410">
        <v>0.17</v>
      </c>
      <c r="Q410">
        <v>5.65</v>
      </c>
      <c r="R410">
        <v>7.0000000000000007E-2</v>
      </c>
      <c r="S410">
        <v>2.68</v>
      </c>
      <c r="T410">
        <v>0.14000000000000001</v>
      </c>
      <c r="U410">
        <v>0.85</v>
      </c>
      <c r="V410">
        <v>0.04</v>
      </c>
      <c r="W410">
        <v>0.84</v>
      </c>
      <c r="X410">
        <v>0.05</v>
      </c>
      <c r="Y410">
        <v>8.57</v>
      </c>
      <c r="Z410">
        <v>0.1</v>
      </c>
      <c r="AA410">
        <v>1.83</v>
      </c>
      <c r="AB410">
        <v>0.03</v>
      </c>
      <c r="AW410">
        <v>1018</v>
      </c>
      <c r="AX410">
        <v>54</v>
      </c>
      <c r="AY410">
        <v>1283</v>
      </c>
      <c r="AZ410">
        <v>40</v>
      </c>
      <c r="BA410">
        <v>159</v>
      </c>
      <c r="BB410">
        <v>5</v>
      </c>
    </row>
    <row r="411" spans="1:54" x14ac:dyDescent="0.25">
      <c r="A411">
        <v>2109</v>
      </c>
      <c r="B411" t="s">
        <v>1091</v>
      </c>
      <c r="C411">
        <v>43.97</v>
      </c>
      <c r="D411">
        <v>0.54</v>
      </c>
      <c r="E411">
        <v>1</v>
      </c>
      <c r="F411">
        <v>0.03</v>
      </c>
      <c r="G411">
        <v>8.2799999999999994</v>
      </c>
      <c r="H411">
        <v>0.19</v>
      </c>
      <c r="I411">
        <v>0.32</v>
      </c>
      <c r="J411">
        <v>0.01</v>
      </c>
      <c r="K411">
        <v>20.88</v>
      </c>
      <c r="L411">
        <v>0.26</v>
      </c>
      <c r="M411">
        <v>0.25</v>
      </c>
      <c r="N411">
        <v>0.01</v>
      </c>
      <c r="O411">
        <v>5</v>
      </c>
      <c r="P411">
        <v>0.17</v>
      </c>
      <c r="Q411">
        <v>4.8600000000000003</v>
      </c>
      <c r="R411">
        <v>0.06</v>
      </c>
      <c r="S411">
        <v>2.79</v>
      </c>
      <c r="T411">
        <v>0.14000000000000001</v>
      </c>
      <c r="U411">
        <v>0.97</v>
      </c>
      <c r="V411">
        <v>0.04</v>
      </c>
      <c r="W411">
        <v>0.75</v>
      </c>
      <c r="X411">
        <v>0.05</v>
      </c>
      <c r="Y411">
        <v>8.24</v>
      </c>
      <c r="Z411">
        <v>0.1</v>
      </c>
      <c r="AA411">
        <v>2.34</v>
      </c>
      <c r="AB411">
        <v>0.03</v>
      </c>
      <c r="AW411">
        <v>1009</v>
      </c>
      <c r="AX411">
        <v>54</v>
      </c>
      <c r="AY411">
        <v>1094</v>
      </c>
      <c r="AZ411">
        <v>35</v>
      </c>
      <c r="BA411">
        <v>60</v>
      </c>
      <c r="BB411">
        <v>5</v>
      </c>
    </row>
    <row r="412" spans="1:54" x14ac:dyDescent="0.25">
      <c r="A412">
        <v>2113</v>
      </c>
      <c r="B412" t="s">
        <v>1092</v>
      </c>
      <c r="C412">
        <v>46.58</v>
      </c>
      <c r="D412">
        <v>0.54</v>
      </c>
      <c r="E412">
        <v>1.07</v>
      </c>
      <c r="F412">
        <v>0.03</v>
      </c>
      <c r="G412">
        <v>8.8800000000000008</v>
      </c>
      <c r="H412">
        <v>0.19</v>
      </c>
      <c r="I412">
        <v>0.32</v>
      </c>
      <c r="J412">
        <v>0.01</v>
      </c>
      <c r="K412">
        <v>22.06</v>
      </c>
      <c r="L412">
        <v>0.26</v>
      </c>
      <c r="M412">
        <v>0.27</v>
      </c>
      <c r="N412">
        <v>0.01</v>
      </c>
      <c r="O412">
        <v>4.76</v>
      </c>
      <c r="P412">
        <v>0.17</v>
      </c>
      <c r="Q412">
        <v>4.2</v>
      </c>
      <c r="R412">
        <v>0.06</v>
      </c>
      <c r="S412">
        <v>2.56</v>
      </c>
      <c r="T412">
        <v>0.14000000000000001</v>
      </c>
      <c r="U412">
        <v>1.06</v>
      </c>
      <c r="V412">
        <v>0.04</v>
      </c>
      <c r="W412">
        <v>0.72</v>
      </c>
      <c r="X412">
        <v>0.05</v>
      </c>
      <c r="Y412">
        <v>5.78</v>
      </c>
      <c r="Z412">
        <v>0.1</v>
      </c>
      <c r="AA412">
        <v>1.33</v>
      </c>
      <c r="AB412">
        <v>0.03</v>
      </c>
      <c r="AW412">
        <v>1080</v>
      </c>
      <c r="AX412">
        <v>54</v>
      </c>
      <c r="AY412">
        <v>1189</v>
      </c>
      <c r="AZ412">
        <v>40</v>
      </c>
      <c r="BA412">
        <v>55</v>
      </c>
      <c r="BB412">
        <v>5</v>
      </c>
    </row>
    <row r="413" spans="1:54" x14ac:dyDescent="0.25">
      <c r="A413">
        <v>2113</v>
      </c>
      <c r="B413" t="s">
        <v>1093</v>
      </c>
      <c r="C413">
        <v>47.49</v>
      </c>
      <c r="D413">
        <v>0.54</v>
      </c>
      <c r="E413">
        <v>1.1299999999999999</v>
      </c>
      <c r="F413">
        <v>0.05</v>
      </c>
      <c r="G413">
        <v>9.01</v>
      </c>
      <c r="H413">
        <v>0.19</v>
      </c>
      <c r="I413">
        <v>0.34</v>
      </c>
      <c r="J413">
        <v>0.01</v>
      </c>
      <c r="K413">
        <v>21.72</v>
      </c>
      <c r="L413">
        <v>0.26</v>
      </c>
      <c r="M413">
        <v>0.27</v>
      </c>
      <c r="N413">
        <v>0.01</v>
      </c>
      <c r="O413">
        <v>4.32</v>
      </c>
      <c r="P413">
        <v>0.17</v>
      </c>
      <c r="Q413">
        <v>4.45</v>
      </c>
      <c r="R413">
        <v>0.06</v>
      </c>
      <c r="S413">
        <v>2.44</v>
      </c>
      <c r="T413">
        <v>0.14000000000000001</v>
      </c>
      <c r="U413">
        <v>1.0900000000000001</v>
      </c>
      <c r="V413">
        <v>0.04</v>
      </c>
      <c r="W413">
        <v>0.67</v>
      </c>
      <c r="X413">
        <v>0.05</v>
      </c>
      <c r="Y413">
        <v>6.07</v>
      </c>
      <c r="Z413">
        <v>0.08</v>
      </c>
      <c r="AA413">
        <v>0.69</v>
      </c>
      <c r="AB413">
        <v>0.02</v>
      </c>
      <c r="AW413">
        <v>1071</v>
      </c>
      <c r="AX413">
        <v>54</v>
      </c>
      <c r="AY413">
        <v>1174</v>
      </c>
      <c r="AZ413">
        <v>40</v>
      </c>
      <c r="BA413">
        <v>57</v>
      </c>
      <c r="BB413">
        <v>5</v>
      </c>
    </row>
    <row r="414" spans="1:54" x14ac:dyDescent="0.25">
      <c r="A414">
        <v>2117</v>
      </c>
      <c r="B414" t="s">
        <v>1094</v>
      </c>
      <c r="C414">
        <v>47.65</v>
      </c>
      <c r="D414">
        <v>0.54</v>
      </c>
      <c r="E414">
        <v>1.04</v>
      </c>
      <c r="F414">
        <v>0.03</v>
      </c>
      <c r="G414">
        <v>8.89</v>
      </c>
      <c r="H414">
        <v>0.19</v>
      </c>
      <c r="I414">
        <v>0.3</v>
      </c>
      <c r="J414">
        <v>0.01</v>
      </c>
      <c r="K414">
        <v>19.23</v>
      </c>
      <c r="L414">
        <v>0.2</v>
      </c>
      <c r="M414">
        <v>0.25</v>
      </c>
      <c r="N414">
        <v>0.01</v>
      </c>
      <c r="O414">
        <v>5.44</v>
      </c>
      <c r="P414">
        <v>0.17</v>
      </c>
      <c r="Q414">
        <v>4.3600000000000003</v>
      </c>
      <c r="R414">
        <v>0.06</v>
      </c>
      <c r="S414">
        <v>2.64</v>
      </c>
      <c r="T414">
        <v>0.14000000000000001</v>
      </c>
      <c r="U414">
        <v>1.03</v>
      </c>
      <c r="V414">
        <v>0.04</v>
      </c>
      <c r="W414">
        <v>0.89</v>
      </c>
      <c r="X414">
        <v>0.05</v>
      </c>
      <c r="Y414">
        <v>6.62</v>
      </c>
      <c r="Z414">
        <v>0.08</v>
      </c>
      <c r="AA414">
        <v>1.38</v>
      </c>
      <c r="AB414">
        <v>0.02</v>
      </c>
      <c r="AW414">
        <v>859</v>
      </c>
      <c r="AX414">
        <v>44</v>
      </c>
      <c r="AY414">
        <v>891</v>
      </c>
      <c r="AZ414">
        <v>30</v>
      </c>
      <c r="BA414">
        <v>46</v>
      </c>
      <c r="BB414">
        <v>5</v>
      </c>
    </row>
    <row r="415" spans="1:54" x14ac:dyDescent="0.25">
      <c r="A415">
        <v>2121</v>
      </c>
      <c r="B415" t="s">
        <v>1095</v>
      </c>
      <c r="C415">
        <v>47.92</v>
      </c>
      <c r="D415">
        <v>0.54</v>
      </c>
      <c r="E415">
        <v>0.99</v>
      </c>
      <c r="F415">
        <v>0.03</v>
      </c>
      <c r="G415">
        <v>9.02</v>
      </c>
      <c r="H415">
        <v>0.19</v>
      </c>
      <c r="I415">
        <v>0.28999999999999998</v>
      </c>
      <c r="J415">
        <v>0.01</v>
      </c>
      <c r="K415">
        <v>19.18</v>
      </c>
      <c r="L415">
        <v>0.2</v>
      </c>
      <c r="M415">
        <v>0.34</v>
      </c>
      <c r="N415">
        <v>0.01</v>
      </c>
      <c r="O415">
        <v>5.79</v>
      </c>
      <c r="P415">
        <v>0.17</v>
      </c>
      <c r="Q415">
        <v>4.57</v>
      </c>
      <c r="R415">
        <v>0.06</v>
      </c>
      <c r="S415">
        <v>2.52</v>
      </c>
      <c r="T415">
        <v>0.14000000000000001</v>
      </c>
      <c r="U415">
        <v>0.98</v>
      </c>
      <c r="V415">
        <v>0.04</v>
      </c>
      <c r="W415">
        <v>0.92</v>
      </c>
      <c r="X415">
        <v>7.0000000000000007E-2</v>
      </c>
      <c r="Y415">
        <v>6.2</v>
      </c>
      <c r="Z415">
        <v>0.1</v>
      </c>
      <c r="AA415">
        <v>0.94</v>
      </c>
      <c r="AB415">
        <v>0.03</v>
      </c>
      <c r="AW415">
        <v>834</v>
      </c>
      <c r="AX415">
        <v>44</v>
      </c>
      <c r="AY415">
        <v>1001</v>
      </c>
      <c r="AZ415">
        <v>35</v>
      </c>
      <c r="BA415">
        <v>37</v>
      </c>
      <c r="BB415">
        <v>5</v>
      </c>
    </row>
    <row r="416" spans="1:54" x14ac:dyDescent="0.25">
      <c r="A416">
        <v>2121</v>
      </c>
      <c r="B416" t="s">
        <v>1096</v>
      </c>
      <c r="C416">
        <v>45.85</v>
      </c>
      <c r="D416">
        <v>0.54</v>
      </c>
      <c r="E416">
        <v>0.97</v>
      </c>
      <c r="F416">
        <v>0.03</v>
      </c>
      <c r="G416">
        <v>8.65</v>
      </c>
      <c r="H416">
        <v>0.19</v>
      </c>
      <c r="I416">
        <v>0.28000000000000003</v>
      </c>
      <c r="J416">
        <v>0.01</v>
      </c>
      <c r="K416">
        <v>17.940000000000001</v>
      </c>
      <c r="L416">
        <v>0.2</v>
      </c>
      <c r="M416">
        <v>0.31</v>
      </c>
      <c r="N416">
        <v>0.01</v>
      </c>
      <c r="O416">
        <v>5.33</v>
      </c>
      <c r="P416">
        <v>0.17</v>
      </c>
      <c r="Q416">
        <v>6.28</v>
      </c>
      <c r="R416">
        <v>7.0000000000000007E-2</v>
      </c>
      <c r="S416">
        <v>2.46</v>
      </c>
      <c r="T416">
        <v>0.14000000000000001</v>
      </c>
      <c r="U416">
        <v>0.93</v>
      </c>
      <c r="V416">
        <v>0.04</v>
      </c>
      <c r="W416">
        <v>0.92</v>
      </c>
      <c r="X416">
        <v>7.0000000000000007E-2</v>
      </c>
      <c r="Y416">
        <v>8.8699999999999992</v>
      </c>
      <c r="Z416">
        <v>0.1</v>
      </c>
      <c r="AA416">
        <v>0.99</v>
      </c>
      <c r="AB416">
        <v>0.02</v>
      </c>
      <c r="AW416">
        <v>749</v>
      </c>
      <c r="AX416">
        <v>40</v>
      </c>
      <c r="AY416">
        <v>961</v>
      </c>
      <c r="AZ416">
        <v>30</v>
      </c>
      <c r="BA416">
        <v>35</v>
      </c>
      <c r="BB416">
        <v>5</v>
      </c>
    </row>
    <row r="417" spans="1:54" x14ac:dyDescent="0.25">
      <c r="A417">
        <v>2124</v>
      </c>
      <c r="B417" t="s">
        <v>1097</v>
      </c>
      <c r="C417">
        <v>47.9</v>
      </c>
      <c r="D417">
        <v>0.54</v>
      </c>
      <c r="E417">
        <v>1.1499999999999999</v>
      </c>
      <c r="F417">
        <v>7.0000000000000007E-2</v>
      </c>
      <c r="G417">
        <v>9.02</v>
      </c>
      <c r="H417">
        <v>0.19</v>
      </c>
      <c r="I417">
        <v>0.35</v>
      </c>
      <c r="J417">
        <v>0.01</v>
      </c>
      <c r="K417">
        <v>21.92</v>
      </c>
      <c r="L417">
        <v>0.26</v>
      </c>
      <c r="M417">
        <v>0.37</v>
      </c>
      <c r="N417">
        <v>0.01</v>
      </c>
      <c r="O417">
        <v>4.43</v>
      </c>
      <c r="P417">
        <v>0.17</v>
      </c>
      <c r="Q417">
        <v>4.92</v>
      </c>
      <c r="R417">
        <v>0.06</v>
      </c>
      <c r="S417">
        <v>2.56</v>
      </c>
      <c r="T417">
        <v>0.14000000000000001</v>
      </c>
      <c r="U417">
        <v>1.05</v>
      </c>
      <c r="V417">
        <v>0.04</v>
      </c>
      <c r="W417">
        <v>0.75</v>
      </c>
      <c r="X417">
        <v>0.05</v>
      </c>
      <c r="Y417">
        <v>4.82</v>
      </c>
      <c r="Z417">
        <v>0.1</v>
      </c>
      <c r="AA417">
        <v>0.43</v>
      </c>
      <c r="AB417">
        <v>0.02</v>
      </c>
      <c r="AW417">
        <v>942</v>
      </c>
      <c r="AX417">
        <v>49</v>
      </c>
      <c r="AY417">
        <v>1233</v>
      </c>
      <c r="AZ417">
        <v>40</v>
      </c>
      <c r="BA417">
        <v>37</v>
      </c>
      <c r="BB417">
        <v>5</v>
      </c>
    </row>
    <row r="418" spans="1:54" x14ac:dyDescent="0.25">
      <c r="A418">
        <v>2124</v>
      </c>
      <c r="B418" t="s">
        <v>1098</v>
      </c>
      <c r="C418">
        <v>48.76</v>
      </c>
      <c r="D418">
        <v>0.54</v>
      </c>
      <c r="E418">
        <v>1.0900000000000001</v>
      </c>
      <c r="F418">
        <v>0.03</v>
      </c>
      <c r="G418">
        <v>9.26</v>
      </c>
      <c r="H418">
        <v>0.19</v>
      </c>
      <c r="I418">
        <v>0.34</v>
      </c>
      <c r="J418">
        <v>0.01</v>
      </c>
      <c r="K418">
        <v>21.48</v>
      </c>
      <c r="L418">
        <v>0.26</v>
      </c>
      <c r="M418">
        <v>0.36</v>
      </c>
      <c r="N418">
        <v>0.01</v>
      </c>
      <c r="O418">
        <v>4.67</v>
      </c>
      <c r="P418">
        <v>0.17</v>
      </c>
      <c r="Q418">
        <v>4.67</v>
      </c>
      <c r="R418">
        <v>0.06</v>
      </c>
      <c r="S418">
        <v>2.62</v>
      </c>
      <c r="T418">
        <v>0.14000000000000001</v>
      </c>
      <c r="U418">
        <v>1.06</v>
      </c>
      <c r="V418">
        <v>0.04</v>
      </c>
      <c r="W418">
        <v>0.81</v>
      </c>
      <c r="X418">
        <v>0.05</v>
      </c>
      <c r="Y418">
        <v>4.07</v>
      </c>
      <c r="Z418">
        <v>0.08</v>
      </c>
      <c r="AA418">
        <v>0.49</v>
      </c>
      <c r="AB418">
        <v>0.02</v>
      </c>
      <c r="AW418">
        <v>908</v>
      </c>
      <c r="AX418">
        <v>49</v>
      </c>
      <c r="AY418">
        <v>1136</v>
      </c>
      <c r="AZ418">
        <v>35</v>
      </c>
      <c r="BA418">
        <v>35</v>
      </c>
      <c r="BB418">
        <v>5</v>
      </c>
    </row>
    <row r="419" spans="1:54" x14ac:dyDescent="0.25">
      <c r="A419">
        <v>2127</v>
      </c>
      <c r="B419" t="s">
        <v>1099</v>
      </c>
      <c r="C419">
        <v>50.03</v>
      </c>
      <c r="D419">
        <v>0.54</v>
      </c>
      <c r="E419">
        <v>1.02</v>
      </c>
      <c r="F419">
        <v>0.03</v>
      </c>
      <c r="G419">
        <v>9.4600000000000009</v>
      </c>
      <c r="H419">
        <v>0.28999999999999998</v>
      </c>
      <c r="I419">
        <v>0.31</v>
      </c>
      <c r="J419">
        <v>0.01</v>
      </c>
      <c r="K419">
        <v>18.04</v>
      </c>
      <c r="L419">
        <v>0.2</v>
      </c>
      <c r="M419">
        <v>0.23</v>
      </c>
      <c r="N419">
        <v>0.01</v>
      </c>
      <c r="O419">
        <v>5.23</v>
      </c>
      <c r="P419">
        <v>0.17</v>
      </c>
      <c r="Q419">
        <v>3.34</v>
      </c>
      <c r="R419">
        <v>0.04</v>
      </c>
      <c r="S419">
        <v>2.88</v>
      </c>
      <c r="T419">
        <v>0.14000000000000001</v>
      </c>
      <c r="U419">
        <v>1.06</v>
      </c>
      <c r="V419">
        <v>0.04</v>
      </c>
      <c r="W419">
        <v>0.82</v>
      </c>
      <c r="X419">
        <v>0.05</v>
      </c>
      <c r="Y419">
        <v>5.13</v>
      </c>
      <c r="Z419">
        <v>0.08</v>
      </c>
      <c r="AA419">
        <v>2.15</v>
      </c>
      <c r="AB419">
        <v>0.03</v>
      </c>
      <c r="AW419">
        <v>958</v>
      </c>
      <c r="AX419">
        <v>49</v>
      </c>
      <c r="AY419">
        <v>1120</v>
      </c>
      <c r="AZ419">
        <v>35</v>
      </c>
      <c r="BA419">
        <v>93</v>
      </c>
      <c r="BB419">
        <v>5</v>
      </c>
    </row>
    <row r="420" spans="1:54" x14ac:dyDescent="0.25">
      <c r="A420">
        <v>2127</v>
      </c>
      <c r="B420" t="s">
        <v>1100</v>
      </c>
      <c r="C420">
        <v>44.76</v>
      </c>
      <c r="D420">
        <v>0.54</v>
      </c>
      <c r="E420">
        <v>0.97</v>
      </c>
      <c r="F420">
        <v>0.03</v>
      </c>
      <c r="G420">
        <v>8.4600000000000009</v>
      </c>
      <c r="H420">
        <v>0.19</v>
      </c>
      <c r="I420">
        <v>0.28000000000000003</v>
      </c>
      <c r="J420">
        <v>0.01</v>
      </c>
      <c r="K420">
        <v>18.41</v>
      </c>
      <c r="L420">
        <v>0.2</v>
      </c>
      <c r="M420">
        <v>0.33</v>
      </c>
      <c r="N420">
        <v>0.01</v>
      </c>
      <c r="O420">
        <v>6.57</v>
      </c>
      <c r="P420">
        <v>0.17</v>
      </c>
      <c r="Q420">
        <v>4.88</v>
      </c>
      <c r="R420">
        <v>0.06</v>
      </c>
      <c r="S420">
        <v>2.42</v>
      </c>
      <c r="T420">
        <v>0.14000000000000001</v>
      </c>
      <c r="U420">
        <v>0.87</v>
      </c>
      <c r="V420">
        <v>0.04</v>
      </c>
      <c r="W420">
        <v>0.94</v>
      </c>
      <c r="X420">
        <v>7.0000000000000007E-2</v>
      </c>
      <c r="Y420">
        <v>8.93</v>
      </c>
      <c r="Z420">
        <v>0.1</v>
      </c>
      <c r="AA420">
        <v>1.9</v>
      </c>
      <c r="AB420">
        <v>0.03</v>
      </c>
      <c r="AW420">
        <v>1045</v>
      </c>
      <c r="AX420">
        <v>54</v>
      </c>
      <c r="AY420">
        <v>1127</v>
      </c>
      <c r="AZ420">
        <v>35</v>
      </c>
      <c r="BA420">
        <v>109</v>
      </c>
      <c r="BB420">
        <v>5</v>
      </c>
    </row>
    <row r="421" spans="1:54" x14ac:dyDescent="0.25">
      <c r="A421">
        <v>2131</v>
      </c>
      <c r="B421" t="s">
        <v>1101</v>
      </c>
      <c r="C421">
        <v>50.14</v>
      </c>
      <c r="D421">
        <v>0.54</v>
      </c>
      <c r="E421">
        <v>0.99</v>
      </c>
      <c r="F421">
        <v>0.03</v>
      </c>
      <c r="G421">
        <v>9.6199999999999992</v>
      </c>
      <c r="H421">
        <v>0.28999999999999998</v>
      </c>
      <c r="I421">
        <v>0.31</v>
      </c>
      <c r="J421">
        <v>0.01</v>
      </c>
      <c r="K421">
        <v>21.46</v>
      </c>
      <c r="L421">
        <v>0.26</v>
      </c>
      <c r="M421">
        <v>0.2</v>
      </c>
      <c r="N421">
        <v>0.01</v>
      </c>
      <c r="O421">
        <v>6.2</v>
      </c>
      <c r="P421">
        <v>0.17</v>
      </c>
      <c r="Q421">
        <v>2.74</v>
      </c>
      <c r="R421">
        <v>0.04</v>
      </c>
      <c r="S421">
        <v>2.7</v>
      </c>
      <c r="T421">
        <v>0.14000000000000001</v>
      </c>
      <c r="U421">
        <v>0.88</v>
      </c>
      <c r="V421">
        <v>0.04</v>
      </c>
      <c r="W421">
        <v>1.38</v>
      </c>
      <c r="X421">
        <v>0.09</v>
      </c>
      <c r="Y421">
        <v>2.4</v>
      </c>
      <c r="Z421">
        <v>0.08</v>
      </c>
      <c r="AA421">
        <v>0.69</v>
      </c>
      <c r="AB421">
        <v>0.02</v>
      </c>
      <c r="AW421">
        <v>879</v>
      </c>
      <c r="AX421">
        <v>44</v>
      </c>
      <c r="AY421">
        <v>886</v>
      </c>
      <c r="AZ421">
        <v>30</v>
      </c>
      <c r="BA421">
        <v>498</v>
      </c>
      <c r="BB421">
        <v>15</v>
      </c>
    </row>
    <row r="422" spans="1:54" x14ac:dyDescent="0.25">
      <c r="A422">
        <v>2131</v>
      </c>
      <c r="B422" t="s">
        <v>1102</v>
      </c>
      <c r="C422">
        <v>53.98</v>
      </c>
      <c r="D422">
        <v>0.64</v>
      </c>
      <c r="E422">
        <v>1</v>
      </c>
      <c r="F422">
        <v>0.03</v>
      </c>
      <c r="G422">
        <v>10.39</v>
      </c>
      <c r="H422">
        <v>0.28999999999999998</v>
      </c>
      <c r="I422">
        <v>0.3</v>
      </c>
      <c r="J422">
        <v>0.01</v>
      </c>
      <c r="K422">
        <v>16.43</v>
      </c>
      <c r="L422">
        <v>0.2</v>
      </c>
      <c r="M422">
        <v>0.25</v>
      </c>
      <c r="N422">
        <v>0.01</v>
      </c>
      <c r="O422">
        <v>5.73</v>
      </c>
      <c r="P422">
        <v>0.17</v>
      </c>
      <c r="Q422">
        <v>3.33</v>
      </c>
      <c r="R422">
        <v>0.04</v>
      </c>
      <c r="S422">
        <v>2.71</v>
      </c>
      <c r="T422">
        <v>0.14000000000000001</v>
      </c>
      <c r="U422">
        <v>1.02</v>
      </c>
      <c r="V422">
        <v>0.04</v>
      </c>
      <c r="W422">
        <v>0.89</v>
      </c>
      <c r="X422">
        <v>0.05</v>
      </c>
      <c r="Y422">
        <v>3.02</v>
      </c>
      <c r="Z422">
        <v>0.05</v>
      </c>
      <c r="AA422">
        <v>0.66</v>
      </c>
      <c r="AB422">
        <v>0.02</v>
      </c>
      <c r="AW422">
        <v>932</v>
      </c>
      <c r="AX422">
        <v>49</v>
      </c>
      <c r="AY422">
        <v>860</v>
      </c>
      <c r="AZ422">
        <v>30</v>
      </c>
      <c r="BA422">
        <v>350</v>
      </c>
      <c r="BB422">
        <v>15</v>
      </c>
    </row>
    <row r="423" spans="1:54" x14ac:dyDescent="0.25">
      <c r="A423">
        <v>2134</v>
      </c>
      <c r="B423" t="s">
        <v>1103</v>
      </c>
      <c r="C423">
        <v>47.88</v>
      </c>
      <c r="D423">
        <v>0.54</v>
      </c>
      <c r="E423">
        <v>1.02</v>
      </c>
      <c r="F423">
        <v>0.03</v>
      </c>
      <c r="G423">
        <v>8.89</v>
      </c>
      <c r="H423">
        <v>0.19</v>
      </c>
      <c r="I423">
        <v>0.32</v>
      </c>
      <c r="J423">
        <v>0.01</v>
      </c>
      <c r="K423">
        <v>18.46</v>
      </c>
      <c r="L423">
        <v>0.2</v>
      </c>
      <c r="M423">
        <v>0.09</v>
      </c>
      <c r="N423">
        <v>0.01</v>
      </c>
      <c r="O423">
        <v>5.0199999999999996</v>
      </c>
      <c r="P423">
        <v>0.17</v>
      </c>
      <c r="Q423">
        <v>5.27</v>
      </c>
      <c r="R423">
        <v>0.06</v>
      </c>
      <c r="S423">
        <v>2.42</v>
      </c>
      <c r="T423">
        <v>0.14000000000000001</v>
      </c>
      <c r="U423">
        <v>0.93</v>
      </c>
      <c r="V423">
        <v>0.04</v>
      </c>
      <c r="W423">
        <v>0.81</v>
      </c>
      <c r="X423">
        <v>0.05</v>
      </c>
      <c r="Y423">
        <v>7.76</v>
      </c>
      <c r="Z423">
        <v>0.12</v>
      </c>
      <c r="AA423">
        <v>0.8</v>
      </c>
      <c r="AB423">
        <v>0.03</v>
      </c>
      <c r="AW423">
        <v>802</v>
      </c>
      <c r="AX423">
        <v>44</v>
      </c>
      <c r="AY423">
        <v>856</v>
      </c>
      <c r="AZ423">
        <v>30</v>
      </c>
      <c r="BA423">
        <v>428</v>
      </c>
      <c r="BB423">
        <v>15</v>
      </c>
    </row>
    <row r="424" spans="1:54" x14ac:dyDescent="0.25">
      <c r="A424">
        <v>2154</v>
      </c>
      <c r="B424" t="s">
        <v>1104</v>
      </c>
      <c r="C424">
        <v>44.28</v>
      </c>
      <c r="D424">
        <v>0.54</v>
      </c>
      <c r="E424">
        <v>1.08</v>
      </c>
      <c r="F424">
        <v>0.03</v>
      </c>
      <c r="G424">
        <v>8.69</v>
      </c>
      <c r="H424">
        <v>0.19</v>
      </c>
      <c r="I424">
        <v>0.3</v>
      </c>
      <c r="J424">
        <v>0.03</v>
      </c>
      <c r="K424">
        <v>20.54</v>
      </c>
      <c r="L424">
        <v>0.26</v>
      </c>
      <c r="M424">
        <v>0.18</v>
      </c>
      <c r="N424">
        <v>0.01</v>
      </c>
      <c r="O424">
        <v>4.49</v>
      </c>
      <c r="P424">
        <v>0.17</v>
      </c>
      <c r="Q424">
        <v>6.63</v>
      </c>
      <c r="R424">
        <v>7.0000000000000007E-2</v>
      </c>
      <c r="S424">
        <v>2.44</v>
      </c>
      <c r="T424">
        <v>0.14000000000000001</v>
      </c>
      <c r="U424">
        <v>0.93</v>
      </c>
      <c r="V424">
        <v>0.04</v>
      </c>
      <c r="W424">
        <v>0.86</v>
      </c>
      <c r="X424">
        <v>0.05</v>
      </c>
      <c r="Y424">
        <v>8.31</v>
      </c>
      <c r="Z424">
        <v>0.12</v>
      </c>
      <c r="AA424">
        <v>0.95</v>
      </c>
      <c r="AB424">
        <v>0.03</v>
      </c>
      <c r="AW424">
        <v>991</v>
      </c>
      <c r="AX424">
        <v>49</v>
      </c>
      <c r="AY424">
        <v>1203</v>
      </c>
      <c r="AZ424">
        <v>40</v>
      </c>
      <c r="BA424">
        <v>218</v>
      </c>
      <c r="BB424">
        <v>10</v>
      </c>
    </row>
    <row r="425" spans="1:54" x14ac:dyDescent="0.25">
      <c r="A425">
        <v>2154</v>
      </c>
      <c r="B425" t="s">
        <v>1105</v>
      </c>
      <c r="C425">
        <v>44.08</v>
      </c>
      <c r="D425">
        <v>0.54</v>
      </c>
      <c r="E425">
        <v>1.03</v>
      </c>
      <c r="F425">
        <v>0.03</v>
      </c>
      <c r="G425">
        <v>8.75</v>
      </c>
      <c r="H425">
        <v>0.19</v>
      </c>
      <c r="I425">
        <v>0.34</v>
      </c>
      <c r="J425">
        <v>0.01</v>
      </c>
      <c r="K425">
        <v>21.53</v>
      </c>
      <c r="L425">
        <v>0.26</v>
      </c>
      <c r="M425">
        <v>0.17</v>
      </c>
      <c r="N425">
        <v>0.01</v>
      </c>
      <c r="O425">
        <v>4.72</v>
      </c>
      <c r="P425">
        <v>0.17</v>
      </c>
      <c r="Q425">
        <v>6.44</v>
      </c>
      <c r="R425">
        <v>7.0000000000000007E-2</v>
      </c>
      <c r="S425">
        <v>2.4500000000000002</v>
      </c>
      <c r="T425">
        <v>0.14000000000000001</v>
      </c>
      <c r="U425">
        <v>0.91</v>
      </c>
      <c r="V425">
        <v>0.04</v>
      </c>
      <c r="W425">
        <v>0.84</v>
      </c>
      <c r="X425">
        <v>0.05</v>
      </c>
      <c r="Y425">
        <v>7.59</v>
      </c>
      <c r="Z425">
        <v>0.1</v>
      </c>
      <c r="AA425">
        <v>0.89</v>
      </c>
      <c r="AB425">
        <v>0.02</v>
      </c>
      <c r="AW425">
        <v>913</v>
      </c>
      <c r="AX425">
        <v>49</v>
      </c>
      <c r="AY425">
        <v>847</v>
      </c>
      <c r="AZ425">
        <v>30</v>
      </c>
      <c r="BA425">
        <v>43</v>
      </c>
      <c r="BB425">
        <v>5</v>
      </c>
    </row>
    <row r="426" spans="1:54" x14ac:dyDescent="0.25">
      <c r="A426">
        <v>2160</v>
      </c>
      <c r="B426" t="s">
        <v>1106</v>
      </c>
      <c r="C426">
        <v>47.48</v>
      </c>
      <c r="D426">
        <v>0.54</v>
      </c>
      <c r="E426">
        <v>1</v>
      </c>
      <c r="F426">
        <v>0.03</v>
      </c>
      <c r="G426">
        <v>9.01</v>
      </c>
      <c r="H426">
        <v>0.19</v>
      </c>
      <c r="I426">
        <v>0.33</v>
      </c>
      <c r="J426">
        <v>0.01</v>
      </c>
      <c r="K426">
        <v>19.66</v>
      </c>
      <c r="L426">
        <v>0.26</v>
      </c>
      <c r="M426">
        <v>0.21</v>
      </c>
      <c r="N426">
        <v>0.01</v>
      </c>
      <c r="O426">
        <v>5.81</v>
      </c>
      <c r="P426">
        <v>0.17</v>
      </c>
      <c r="Q426">
        <v>3.94</v>
      </c>
      <c r="R426">
        <v>0.04</v>
      </c>
      <c r="S426">
        <v>2.61</v>
      </c>
      <c r="T426">
        <v>0.14000000000000001</v>
      </c>
      <c r="U426">
        <v>0.91</v>
      </c>
      <c r="V426">
        <v>0.04</v>
      </c>
      <c r="W426">
        <v>0.94</v>
      </c>
      <c r="X426">
        <v>7.0000000000000007E-2</v>
      </c>
      <c r="Y426">
        <v>6.54</v>
      </c>
      <c r="Z426">
        <v>0.1</v>
      </c>
      <c r="AA426">
        <v>1.28</v>
      </c>
      <c r="AB426">
        <v>0.03</v>
      </c>
      <c r="AW426">
        <v>910</v>
      </c>
      <c r="AX426">
        <v>49</v>
      </c>
      <c r="AY426">
        <v>969</v>
      </c>
      <c r="AZ426">
        <v>30</v>
      </c>
      <c r="BA426">
        <v>52</v>
      </c>
      <c r="BB426">
        <v>5</v>
      </c>
    </row>
    <row r="427" spans="1:54" x14ac:dyDescent="0.25">
      <c r="A427">
        <v>2165</v>
      </c>
      <c r="B427" t="s">
        <v>1107</v>
      </c>
      <c r="C427">
        <v>48.63</v>
      </c>
      <c r="D427">
        <v>0.54</v>
      </c>
      <c r="E427">
        <v>0.99</v>
      </c>
      <c r="F427">
        <v>0.03</v>
      </c>
      <c r="G427">
        <v>9.39</v>
      </c>
      <c r="H427">
        <v>0.19</v>
      </c>
      <c r="I427">
        <v>0.27</v>
      </c>
      <c r="J427">
        <v>0.01</v>
      </c>
      <c r="K427">
        <v>16.04</v>
      </c>
      <c r="L427">
        <v>0.2</v>
      </c>
      <c r="M427">
        <v>0.22</v>
      </c>
      <c r="N427">
        <v>0.01</v>
      </c>
      <c r="O427">
        <v>6.63</v>
      </c>
      <c r="P427">
        <v>0.17</v>
      </c>
      <c r="Q427">
        <v>3.84</v>
      </c>
      <c r="R427">
        <v>0.04</v>
      </c>
      <c r="S427">
        <v>2.68</v>
      </c>
      <c r="T427">
        <v>0.14000000000000001</v>
      </c>
      <c r="U427">
        <v>1.07</v>
      </c>
      <c r="V427">
        <v>0.04</v>
      </c>
      <c r="W427">
        <v>0.77</v>
      </c>
      <c r="X427">
        <v>0.05</v>
      </c>
      <c r="Y427">
        <v>7.87</v>
      </c>
      <c r="Z427">
        <v>0.12</v>
      </c>
      <c r="AA427">
        <v>1.35</v>
      </c>
      <c r="AB427">
        <v>0.03</v>
      </c>
      <c r="AW427">
        <v>940</v>
      </c>
      <c r="AX427">
        <v>49</v>
      </c>
      <c r="AY427">
        <v>935</v>
      </c>
      <c r="AZ427">
        <v>30</v>
      </c>
      <c r="BA427">
        <v>60</v>
      </c>
      <c r="BB427">
        <v>5</v>
      </c>
    </row>
    <row r="428" spans="1:54" x14ac:dyDescent="0.25">
      <c r="A428">
        <v>2165</v>
      </c>
      <c r="B428" t="s">
        <v>1108</v>
      </c>
      <c r="C428">
        <v>48.3</v>
      </c>
      <c r="D428">
        <v>0.54</v>
      </c>
      <c r="E428">
        <v>1</v>
      </c>
      <c r="F428">
        <v>0.03</v>
      </c>
      <c r="G428">
        <v>9.08</v>
      </c>
      <c r="H428">
        <v>0.19</v>
      </c>
      <c r="I428">
        <v>0.28999999999999998</v>
      </c>
      <c r="J428">
        <v>0.01</v>
      </c>
      <c r="K428">
        <v>15.37</v>
      </c>
      <c r="L428">
        <v>0.2</v>
      </c>
      <c r="M428">
        <v>0.23</v>
      </c>
      <c r="N428">
        <v>0.01</v>
      </c>
      <c r="O428">
        <v>6.23</v>
      </c>
      <c r="P428">
        <v>0.17</v>
      </c>
      <c r="Q428">
        <v>4.4000000000000004</v>
      </c>
      <c r="R428">
        <v>0.06</v>
      </c>
      <c r="S428">
        <v>2.59</v>
      </c>
      <c r="T428">
        <v>0.14000000000000001</v>
      </c>
      <c r="U428">
        <v>1.0900000000000001</v>
      </c>
      <c r="V428">
        <v>0.04</v>
      </c>
      <c r="W428">
        <v>0.63</v>
      </c>
      <c r="X428">
        <v>0.05</v>
      </c>
      <c r="Y428">
        <v>8.8000000000000007</v>
      </c>
      <c r="Z428">
        <v>0.12</v>
      </c>
      <c r="AA428">
        <v>1.69</v>
      </c>
      <c r="AB428">
        <v>0.03</v>
      </c>
      <c r="AW428">
        <v>988</v>
      </c>
      <c r="AX428">
        <v>49</v>
      </c>
      <c r="AY428">
        <v>1199</v>
      </c>
      <c r="AZ428">
        <v>40</v>
      </c>
      <c r="BA428">
        <v>57</v>
      </c>
      <c r="BB428">
        <v>10</v>
      </c>
    </row>
    <row r="429" spans="1:54" x14ac:dyDescent="0.25">
      <c r="A429">
        <v>2165</v>
      </c>
      <c r="B429" t="s">
        <v>1109</v>
      </c>
      <c r="C429">
        <v>51.46</v>
      </c>
      <c r="D429">
        <v>0.54</v>
      </c>
      <c r="E429">
        <v>0.97</v>
      </c>
      <c r="F429">
        <v>0.03</v>
      </c>
      <c r="G429">
        <v>10.130000000000001</v>
      </c>
      <c r="H429">
        <v>0.28999999999999998</v>
      </c>
      <c r="I429">
        <v>0.28999999999999998</v>
      </c>
      <c r="J429">
        <v>0.01</v>
      </c>
      <c r="K429">
        <v>17.28</v>
      </c>
      <c r="L429">
        <v>0.2</v>
      </c>
      <c r="M429">
        <v>0.17</v>
      </c>
      <c r="N429">
        <v>0.01</v>
      </c>
      <c r="O429">
        <v>5.26</v>
      </c>
      <c r="P429">
        <v>0.17</v>
      </c>
      <c r="Q429">
        <v>4.0199999999999996</v>
      </c>
      <c r="R429">
        <v>0.04</v>
      </c>
      <c r="S429">
        <v>2.68</v>
      </c>
      <c r="T429">
        <v>0.14000000000000001</v>
      </c>
      <c r="U429">
        <v>1.05</v>
      </c>
      <c r="V429">
        <v>0.04</v>
      </c>
      <c r="W429">
        <v>0.68</v>
      </c>
      <c r="X429">
        <v>0.05</v>
      </c>
      <c r="Y429">
        <v>4.99</v>
      </c>
      <c r="Z429">
        <v>0.08</v>
      </c>
      <c r="AA429">
        <v>0.78</v>
      </c>
      <c r="AB429">
        <v>0.02</v>
      </c>
      <c r="AW429">
        <v>961</v>
      </c>
      <c r="AX429">
        <v>49</v>
      </c>
      <c r="AY429">
        <v>698</v>
      </c>
      <c r="AZ429">
        <v>24</v>
      </c>
      <c r="BA429">
        <v>31</v>
      </c>
      <c r="BB429">
        <v>5</v>
      </c>
    </row>
    <row r="430" spans="1:54" x14ac:dyDescent="0.25">
      <c r="A430">
        <v>2168</v>
      </c>
      <c r="B430" t="s">
        <v>1110</v>
      </c>
      <c r="C430">
        <v>46.67</v>
      </c>
      <c r="D430">
        <v>0.54</v>
      </c>
      <c r="E430">
        <v>0.95</v>
      </c>
      <c r="F430">
        <v>0.03</v>
      </c>
      <c r="G430">
        <v>9.1199999999999992</v>
      </c>
      <c r="H430">
        <v>0.19</v>
      </c>
      <c r="I430">
        <v>0.31</v>
      </c>
      <c r="J430">
        <v>0.01</v>
      </c>
      <c r="K430">
        <v>13.78</v>
      </c>
      <c r="L430">
        <v>0.2</v>
      </c>
      <c r="M430">
        <v>0.21</v>
      </c>
      <c r="N430">
        <v>0.01</v>
      </c>
      <c r="O430">
        <v>5.68</v>
      </c>
      <c r="P430">
        <v>0.17</v>
      </c>
      <c r="Q430">
        <v>6.43</v>
      </c>
      <c r="R430">
        <v>7.0000000000000007E-2</v>
      </c>
      <c r="S430">
        <v>2.57</v>
      </c>
      <c r="T430">
        <v>0.14000000000000001</v>
      </c>
      <c r="U430">
        <v>0.95</v>
      </c>
      <c r="V430">
        <v>0.04</v>
      </c>
      <c r="W430">
        <v>0.85</v>
      </c>
      <c r="X430">
        <v>0.05</v>
      </c>
      <c r="Y430">
        <v>11.02</v>
      </c>
      <c r="Z430">
        <v>0.12</v>
      </c>
      <c r="AA430">
        <v>1.1599999999999999</v>
      </c>
      <c r="AB430">
        <v>0.03</v>
      </c>
      <c r="AW430">
        <v>942</v>
      </c>
      <c r="AX430">
        <v>49</v>
      </c>
      <c r="AY430">
        <v>993</v>
      </c>
      <c r="AZ430">
        <v>30</v>
      </c>
      <c r="BA430">
        <v>177</v>
      </c>
      <c r="BB430">
        <v>10</v>
      </c>
    </row>
    <row r="431" spans="1:54" x14ac:dyDescent="0.25">
      <c r="A431">
        <v>2168</v>
      </c>
      <c r="B431" t="s">
        <v>1111</v>
      </c>
      <c r="C431">
        <v>47.12</v>
      </c>
      <c r="D431">
        <v>0.54</v>
      </c>
      <c r="E431">
        <v>0.97</v>
      </c>
      <c r="F431">
        <v>0.03</v>
      </c>
      <c r="G431">
        <v>9.44</v>
      </c>
      <c r="H431">
        <v>0.19</v>
      </c>
      <c r="I431">
        <v>0.34</v>
      </c>
      <c r="J431">
        <v>0.01</v>
      </c>
      <c r="K431">
        <v>15.44</v>
      </c>
      <c r="L431">
        <v>0.2</v>
      </c>
      <c r="M431">
        <v>0.22</v>
      </c>
      <c r="N431">
        <v>0.01</v>
      </c>
      <c r="O431">
        <v>6.14</v>
      </c>
      <c r="P431">
        <v>0.17</v>
      </c>
      <c r="Q431">
        <v>5.98</v>
      </c>
      <c r="R431">
        <v>7.0000000000000007E-2</v>
      </c>
      <c r="S431">
        <v>2.61</v>
      </c>
      <c r="T431">
        <v>0.14000000000000001</v>
      </c>
      <c r="U431">
        <v>0.91</v>
      </c>
      <c r="V431">
        <v>0.04</v>
      </c>
      <c r="W431">
        <v>0.81</v>
      </c>
      <c r="X431">
        <v>0.05</v>
      </c>
      <c r="Y431">
        <v>8.7799999999999994</v>
      </c>
      <c r="Z431">
        <v>0.1</v>
      </c>
      <c r="AA431">
        <v>0.96</v>
      </c>
      <c r="AB431">
        <v>0.02</v>
      </c>
      <c r="AW431">
        <v>930</v>
      </c>
      <c r="AX431">
        <v>49</v>
      </c>
      <c r="AY431">
        <v>969</v>
      </c>
      <c r="AZ431">
        <v>30</v>
      </c>
      <c r="BA431">
        <v>121</v>
      </c>
      <c r="BB431">
        <v>5</v>
      </c>
    </row>
    <row r="432" spans="1:54" x14ac:dyDescent="0.25">
      <c r="A432">
        <v>2217</v>
      </c>
      <c r="B432" t="s">
        <v>1112</v>
      </c>
      <c r="C432">
        <v>32.24</v>
      </c>
      <c r="D432">
        <v>0.43</v>
      </c>
      <c r="E432">
        <v>0.66</v>
      </c>
      <c r="F432">
        <v>0.03</v>
      </c>
      <c r="G432">
        <v>6.58</v>
      </c>
      <c r="H432">
        <v>0.19</v>
      </c>
      <c r="I432">
        <v>0.2</v>
      </c>
      <c r="J432">
        <v>0.01</v>
      </c>
      <c r="K432">
        <v>18.78</v>
      </c>
      <c r="L432">
        <v>0.2</v>
      </c>
      <c r="M432">
        <v>0.14000000000000001</v>
      </c>
      <c r="N432">
        <v>0.01</v>
      </c>
      <c r="O432">
        <v>4.76</v>
      </c>
      <c r="P432">
        <v>0.17</v>
      </c>
      <c r="Q432">
        <v>11.21</v>
      </c>
      <c r="R432">
        <v>0.13</v>
      </c>
      <c r="S432">
        <v>2.2599999999999998</v>
      </c>
      <c r="T432">
        <v>0.14000000000000001</v>
      </c>
      <c r="U432">
        <v>0.57999999999999996</v>
      </c>
      <c r="V432">
        <v>0.02</v>
      </c>
      <c r="W432">
        <v>0.7</v>
      </c>
      <c r="X432">
        <v>0.05</v>
      </c>
      <c r="Y432">
        <v>20.420000000000002</v>
      </c>
      <c r="Z432">
        <v>0.22</v>
      </c>
      <c r="AA432">
        <v>1.23</v>
      </c>
      <c r="AB432">
        <v>0.03</v>
      </c>
      <c r="AW432">
        <v>719</v>
      </c>
      <c r="AX432">
        <v>40</v>
      </c>
      <c r="AY432">
        <v>810</v>
      </c>
      <c r="AZ432">
        <v>24</v>
      </c>
      <c r="BA432">
        <v>172</v>
      </c>
      <c r="BB432">
        <v>10</v>
      </c>
    </row>
    <row r="433" spans="1:54" x14ac:dyDescent="0.25">
      <c r="A433">
        <v>2217</v>
      </c>
      <c r="B433" t="s">
        <v>1113</v>
      </c>
      <c r="C433">
        <v>48.42</v>
      </c>
      <c r="D433">
        <v>0.54</v>
      </c>
      <c r="E433">
        <v>0.94</v>
      </c>
      <c r="F433">
        <v>0.03</v>
      </c>
      <c r="G433">
        <v>9.5299999999999994</v>
      </c>
      <c r="H433">
        <v>0.28999999999999998</v>
      </c>
      <c r="I433">
        <v>0.3</v>
      </c>
      <c r="J433">
        <v>0.01</v>
      </c>
      <c r="K433">
        <v>14.41</v>
      </c>
      <c r="L433">
        <v>0.2</v>
      </c>
      <c r="M433">
        <v>0.22</v>
      </c>
      <c r="N433">
        <v>0.01</v>
      </c>
      <c r="O433">
        <v>5.65</v>
      </c>
      <c r="P433">
        <v>0.17</v>
      </c>
      <c r="Q433">
        <v>5.92</v>
      </c>
      <c r="R433">
        <v>7.0000000000000007E-2</v>
      </c>
      <c r="S433">
        <v>2.5499999999999998</v>
      </c>
      <c r="T433">
        <v>0.14000000000000001</v>
      </c>
      <c r="U433">
        <v>1.04</v>
      </c>
      <c r="V433">
        <v>0.04</v>
      </c>
      <c r="W433">
        <v>0.72</v>
      </c>
      <c r="X433">
        <v>0.05</v>
      </c>
      <c r="Y433">
        <v>9.17</v>
      </c>
      <c r="Z433">
        <v>0.1</v>
      </c>
      <c r="AA433">
        <v>0.87</v>
      </c>
      <c r="AB433">
        <v>0.02</v>
      </c>
      <c r="AW433">
        <v>894</v>
      </c>
      <c r="AX433">
        <v>44</v>
      </c>
      <c r="AY433">
        <v>923</v>
      </c>
      <c r="AZ433">
        <v>30</v>
      </c>
      <c r="BA433">
        <v>113</v>
      </c>
      <c r="BB433">
        <v>5</v>
      </c>
    </row>
    <row r="434" spans="1:54" x14ac:dyDescent="0.25">
      <c r="A434">
        <v>2220</v>
      </c>
      <c r="B434" t="s">
        <v>1114</v>
      </c>
      <c r="C434">
        <v>49.79</v>
      </c>
      <c r="D434">
        <v>0.54</v>
      </c>
      <c r="E434">
        <v>0.94</v>
      </c>
      <c r="F434">
        <v>0.03</v>
      </c>
      <c r="G434">
        <v>9.6999999999999993</v>
      </c>
      <c r="H434">
        <v>0.28999999999999998</v>
      </c>
      <c r="I434">
        <v>0.28999999999999998</v>
      </c>
      <c r="J434">
        <v>0.01</v>
      </c>
      <c r="K434">
        <v>13.7</v>
      </c>
      <c r="L434">
        <v>0.2</v>
      </c>
      <c r="M434">
        <v>0.23</v>
      </c>
      <c r="N434">
        <v>0.01</v>
      </c>
      <c r="O434">
        <v>5.23</v>
      </c>
      <c r="P434">
        <v>0.17</v>
      </c>
      <c r="Q434">
        <v>5.1100000000000003</v>
      </c>
      <c r="R434">
        <v>0.06</v>
      </c>
      <c r="S434">
        <v>2.5</v>
      </c>
      <c r="T434">
        <v>0.14000000000000001</v>
      </c>
      <c r="U434">
        <v>1.05</v>
      </c>
      <c r="V434">
        <v>0.04</v>
      </c>
      <c r="W434">
        <v>0.72</v>
      </c>
      <c r="X434">
        <v>0.05</v>
      </c>
      <c r="Y434">
        <v>9.35</v>
      </c>
      <c r="Z434">
        <v>0.1</v>
      </c>
      <c r="AA434">
        <v>1.04</v>
      </c>
      <c r="AB434">
        <v>0.02</v>
      </c>
      <c r="AW434">
        <v>1074</v>
      </c>
      <c r="AX434">
        <v>54</v>
      </c>
      <c r="AY434">
        <v>1596</v>
      </c>
      <c r="AZ434">
        <v>49</v>
      </c>
      <c r="BA434">
        <v>78</v>
      </c>
      <c r="BB434">
        <v>5</v>
      </c>
    </row>
    <row r="435" spans="1:54" x14ac:dyDescent="0.25">
      <c r="A435">
        <v>2223</v>
      </c>
      <c r="B435" t="s">
        <v>1115</v>
      </c>
      <c r="C435">
        <v>48.87</v>
      </c>
      <c r="D435">
        <v>0.54</v>
      </c>
      <c r="E435">
        <v>0.88</v>
      </c>
      <c r="F435">
        <v>0.03</v>
      </c>
      <c r="G435">
        <v>9.2799999999999994</v>
      </c>
      <c r="H435">
        <v>0.19</v>
      </c>
      <c r="I435">
        <v>0.28000000000000003</v>
      </c>
      <c r="J435">
        <v>0.01</v>
      </c>
      <c r="K435">
        <v>15.86</v>
      </c>
      <c r="L435">
        <v>0.2</v>
      </c>
      <c r="M435">
        <v>0.13</v>
      </c>
      <c r="N435">
        <v>0.01</v>
      </c>
      <c r="O435">
        <v>4.33</v>
      </c>
      <c r="P435">
        <v>0.17</v>
      </c>
      <c r="Q435">
        <v>5.53</v>
      </c>
      <c r="R435">
        <v>0.06</v>
      </c>
      <c r="S435">
        <v>2.4</v>
      </c>
      <c r="T435">
        <v>0.14000000000000001</v>
      </c>
      <c r="U435">
        <v>0.8</v>
      </c>
      <c r="V435">
        <v>0.02</v>
      </c>
      <c r="W435">
        <v>0.79</v>
      </c>
      <c r="X435">
        <v>0.05</v>
      </c>
      <c r="Y435">
        <v>9.56</v>
      </c>
      <c r="Z435">
        <v>0.12</v>
      </c>
      <c r="AA435">
        <v>1</v>
      </c>
      <c r="AB435">
        <v>0.03</v>
      </c>
      <c r="AW435">
        <v>754</v>
      </c>
      <c r="AX435">
        <v>40</v>
      </c>
      <c r="AY435">
        <v>603</v>
      </c>
      <c r="AZ435">
        <v>20</v>
      </c>
      <c r="BA435">
        <v>78</v>
      </c>
      <c r="BB435">
        <v>5</v>
      </c>
    </row>
    <row r="436" spans="1:54" x14ac:dyDescent="0.25">
      <c r="A436">
        <v>2223</v>
      </c>
      <c r="B436" t="s">
        <v>1116</v>
      </c>
      <c r="C436">
        <v>53.54</v>
      </c>
      <c r="D436">
        <v>0.64</v>
      </c>
      <c r="E436">
        <v>0.96</v>
      </c>
      <c r="F436">
        <v>0.03</v>
      </c>
      <c r="G436">
        <v>10.3</v>
      </c>
      <c r="H436">
        <v>0.28999999999999998</v>
      </c>
      <c r="I436">
        <v>0.33</v>
      </c>
      <c r="J436">
        <v>0.01</v>
      </c>
      <c r="K436">
        <v>16.13</v>
      </c>
      <c r="L436">
        <v>0.2</v>
      </c>
      <c r="M436">
        <v>0.16</v>
      </c>
      <c r="N436">
        <v>0.01</v>
      </c>
      <c r="O436">
        <v>5.03</v>
      </c>
      <c r="P436">
        <v>0.17</v>
      </c>
      <c r="Q436">
        <v>3.54</v>
      </c>
      <c r="R436">
        <v>0.04</v>
      </c>
      <c r="S436">
        <v>2.68</v>
      </c>
      <c r="T436">
        <v>0.14000000000000001</v>
      </c>
      <c r="U436">
        <v>0.95</v>
      </c>
      <c r="V436">
        <v>0.04</v>
      </c>
      <c r="W436">
        <v>0.88</v>
      </c>
      <c r="X436">
        <v>0.05</v>
      </c>
      <c r="Y436">
        <v>4.18</v>
      </c>
      <c r="Z436">
        <v>0.05</v>
      </c>
      <c r="AA436">
        <v>1.07</v>
      </c>
      <c r="AB436">
        <v>0.02</v>
      </c>
      <c r="AW436">
        <v>1054</v>
      </c>
      <c r="AX436">
        <v>54</v>
      </c>
      <c r="AY436">
        <v>731</v>
      </c>
      <c r="AZ436">
        <v>24</v>
      </c>
      <c r="BA436">
        <v>96</v>
      </c>
      <c r="BB436">
        <v>5</v>
      </c>
    </row>
    <row r="437" spans="1:54" x14ac:dyDescent="0.25">
      <c r="A437">
        <v>2245</v>
      </c>
      <c r="B437" t="s">
        <v>1117</v>
      </c>
      <c r="C437">
        <v>51.58</v>
      </c>
      <c r="D437">
        <v>0.54</v>
      </c>
      <c r="E437">
        <v>0.88</v>
      </c>
      <c r="F437">
        <v>0.03</v>
      </c>
      <c r="G437">
        <v>9.64</v>
      </c>
      <c r="H437">
        <v>0.28999999999999998</v>
      </c>
      <c r="I437">
        <v>0.28000000000000003</v>
      </c>
      <c r="J437">
        <v>0.03</v>
      </c>
      <c r="K437">
        <v>17.309999999999999</v>
      </c>
      <c r="L437">
        <v>0.2</v>
      </c>
      <c r="M437">
        <v>0.15</v>
      </c>
      <c r="N437">
        <v>0.01</v>
      </c>
      <c r="O437">
        <v>4.29</v>
      </c>
      <c r="P437">
        <v>0.17</v>
      </c>
      <c r="Q437">
        <v>4.84</v>
      </c>
      <c r="R437">
        <v>7.0000000000000007E-2</v>
      </c>
      <c r="S437">
        <v>2.57</v>
      </c>
      <c r="T437">
        <v>0.14000000000000001</v>
      </c>
      <c r="U437">
        <v>0.89</v>
      </c>
      <c r="V437">
        <v>0.04</v>
      </c>
      <c r="W437">
        <v>0.79</v>
      </c>
      <c r="X437">
        <v>0.05</v>
      </c>
      <c r="Y437">
        <v>5.63</v>
      </c>
      <c r="Z437">
        <v>0.12</v>
      </c>
      <c r="AA437">
        <v>0.92</v>
      </c>
      <c r="AB437">
        <v>0.03</v>
      </c>
      <c r="AW437">
        <v>930</v>
      </c>
      <c r="AX437">
        <v>49</v>
      </c>
      <c r="AY437">
        <v>661</v>
      </c>
      <c r="AZ437">
        <v>24</v>
      </c>
      <c r="BA437">
        <v>60</v>
      </c>
      <c r="BB437">
        <v>5</v>
      </c>
    </row>
    <row r="438" spans="1:54" x14ac:dyDescent="0.25">
      <c r="A438">
        <v>2245</v>
      </c>
      <c r="B438" t="s">
        <v>1118</v>
      </c>
      <c r="C438">
        <v>50.59</v>
      </c>
      <c r="D438">
        <v>0.54</v>
      </c>
      <c r="E438">
        <v>0.94</v>
      </c>
      <c r="F438">
        <v>0.03</v>
      </c>
      <c r="G438">
        <v>9.4499999999999993</v>
      </c>
      <c r="H438">
        <v>0.28999999999999998</v>
      </c>
      <c r="I438">
        <v>0.3</v>
      </c>
      <c r="J438">
        <v>0.01</v>
      </c>
      <c r="K438">
        <v>18.600000000000001</v>
      </c>
      <c r="L438">
        <v>0.2</v>
      </c>
      <c r="M438">
        <v>0.14000000000000001</v>
      </c>
      <c r="N438">
        <v>0.01</v>
      </c>
      <c r="O438">
        <v>4.2</v>
      </c>
      <c r="P438">
        <v>0.17</v>
      </c>
      <c r="Q438">
        <v>4.83</v>
      </c>
      <c r="R438">
        <v>0.06</v>
      </c>
      <c r="S438">
        <v>2.58</v>
      </c>
      <c r="T438">
        <v>0.14000000000000001</v>
      </c>
      <c r="U438">
        <v>0.85</v>
      </c>
      <c r="V438">
        <v>0.04</v>
      </c>
      <c r="W438">
        <v>0.73</v>
      </c>
      <c r="X438">
        <v>0.05</v>
      </c>
      <c r="Y438">
        <v>5.61</v>
      </c>
      <c r="Z438">
        <v>0.1</v>
      </c>
      <c r="AA438">
        <v>0.93</v>
      </c>
      <c r="AB438">
        <v>0.03</v>
      </c>
      <c r="AW438">
        <v>1019</v>
      </c>
      <c r="AX438">
        <v>54</v>
      </c>
      <c r="AY438">
        <v>700</v>
      </c>
      <c r="AZ438">
        <v>24</v>
      </c>
      <c r="BA438">
        <v>66</v>
      </c>
      <c r="BB438">
        <v>10</v>
      </c>
    </row>
    <row r="439" spans="1:54" x14ac:dyDescent="0.25">
      <c r="A439">
        <v>2247</v>
      </c>
      <c r="B439" t="s">
        <v>1119</v>
      </c>
      <c r="C439">
        <v>52.38</v>
      </c>
      <c r="D439">
        <v>0.54</v>
      </c>
      <c r="E439">
        <v>0.96</v>
      </c>
      <c r="F439">
        <v>0.03</v>
      </c>
      <c r="G439">
        <v>10.02</v>
      </c>
      <c r="H439">
        <v>0.28999999999999998</v>
      </c>
      <c r="I439">
        <v>0.28999999999999998</v>
      </c>
      <c r="J439">
        <v>0.01</v>
      </c>
      <c r="K439">
        <v>16.97</v>
      </c>
      <c r="L439">
        <v>0.2</v>
      </c>
      <c r="M439">
        <v>0.14000000000000001</v>
      </c>
      <c r="N439">
        <v>0.01</v>
      </c>
      <c r="O439">
        <v>4.58</v>
      </c>
      <c r="P439">
        <v>0.17</v>
      </c>
      <c r="Q439">
        <v>4.1900000000000004</v>
      </c>
      <c r="R439">
        <v>0.04</v>
      </c>
      <c r="S439">
        <v>2.68</v>
      </c>
      <c r="T439">
        <v>0.14000000000000001</v>
      </c>
      <c r="U439">
        <v>0.92</v>
      </c>
      <c r="V439">
        <v>0.04</v>
      </c>
      <c r="W439">
        <v>0.78</v>
      </c>
      <c r="X439">
        <v>0.05</v>
      </c>
      <c r="Y439">
        <v>4.8600000000000003</v>
      </c>
      <c r="Z439">
        <v>0.08</v>
      </c>
      <c r="AA439">
        <v>0.99</v>
      </c>
      <c r="AB439">
        <v>0.02</v>
      </c>
      <c r="AW439">
        <v>962</v>
      </c>
      <c r="AX439">
        <v>49</v>
      </c>
      <c r="AY439">
        <v>706</v>
      </c>
      <c r="AZ439">
        <v>24</v>
      </c>
      <c r="BA439">
        <v>92</v>
      </c>
      <c r="BB439">
        <v>5</v>
      </c>
    </row>
    <row r="440" spans="1:54" x14ac:dyDescent="0.25">
      <c r="A440">
        <v>2254</v>
      </c>
      <c r="B440" t="s">
        <v>1120</v>
      </c>
      <c r="C440">
        <v>50.32</v>
      </c>
      <c r="D440">
        <v>0.54</v>
      </c>
      <c r="E440">
        <v>0.97</v>
      </c>
      <c r="F440">
        <v>0.03</v>
      </c>
      <c r="G440">
        <v>9.6199999999999992</v>
      </c>
      <c r="H440">
        <v>0.28999999999999998</v>
      </c>
      <c r="I440">
        <v>0.28000000000000003</v>
      </c>
      <c r="J440">
        <v>0.01</v>
      </c>
      <c r="K440">
        <v>17.43</v>
      </c>
      <c r="L440">
        <v>0.2</v>
      </c>
      <c r="M440">
        <v>0.1</v>
      </c>
      <c r="N440">
        <v>0.01</v>
      </c>
      <c r="O440">
        <v>4.8499999999999996</v>
      </c>
      <c r="P440">
        <v>0.17</v>
      </c>
      <c r="Q440">
        <v>4.49</v>
      </c>
      <c r="R440">
        <v>0.06</v>
      </c>
      <c r="S440">
        <v>2.4500000000000002</v>
      </c>
      <c r="T440">
        <v>0.14000000000000001</v>
      </c>
      <c r="U440">
        <v>1.06</v>
      </c>
      <c r="V440">
        <v>0.04</v>
      </c>
      <c r="W440">
        <v>0.76</v>
      </c>
      <c r="X440">
        <v>0.05</v>
      </c>
      <c r="Y440">
        <v>6.31</v>
      </c>
      <c r="Z440">
        <v>0.1</v>
      </c>
      <c r="AA440">
        <v>1.1000000000000001</v>
      </c>
      <c r="AB440">
        <v>0.03</v>
      </c>
      <c r="AW440">
        <v>854</v>
      </c>
      <c r="AX440">
        <v>44</v>
      </c>
      <c r="AY440">
        <v>885</v>
      </c>
      <c r="AZ440">
        <v>30</v>
      </c>
      <c r="BA440">
        <v>21</v>
      </c>
      <c r="BB440">
        <v>5</v>
      </c>
    </row>
    <row r="441" spans="1:54" x14ac:dyDescent="0.25">
      <c r="A441">
        <v>2254</v>
      </c>
      <c r="B441" t="s">
        <v>1121</v>
      </c>
      <c r="C441">
        <v>47.29</v>
      </c>
      <c r="D441">
        <v>0.54</v>
      </c>
      <c r="E441">
        <v>0.93</v>
      </c>
      <c r="F441">
        <v>0.03</v>
      </c>
      <c r="G441">
        <v>9.33</v>
      </c>
      <c r="H441">
        <v>0.19</v>
      </c>
      <c r="I441">
        <v>0.28999999999999998</v>
      </c>
      <c r="J441">
        <v>0.01</v>
      </c>
      <c r="K441">
        <v>17.760000000000002</v>
      </c>
      <c r="L441">
        <v>0.2</v>
      </c>
      <c r="M441">
        <v>0.1</v>
      </c>
      <c r="N441">
        <v>0.01</v>
      </c>
      <c r="O441">
        <v>5.56</v>
      </c>
      <c r="P441">
        <v>0.17</v>
      </c>
      <c r="Q441">
        <v>4.71</v>
      </c>
      <c r="R441">
        <v>0.06</v>
      </c>
      <c r="S441">
        <v>2.62</v>
      </c>
      <c r="T441">
        <v>0.14000000000000001</v>
      </c>
      <c r="U441">
        <v>0.98</v>
      </c>
      <c r="V441">
        <v>0.04</v>
      </c>
      <c r="W441">
        <v>0.89</v>
      </c>
      <c r="X441">
        <v>0.05</v>
      </c>
      <c r="Y441">
        <v>7.79</v>
      </c>
      <c r="Z441">
        <v>0.1</v>
      </c>
      <c r="AA441">
        <v>1.45</v>
      </c>
      <c r="AB441">
        <v>0.03</v>
      </c>
      <c r="AW441">
        <v>803</v>
      </c>
      <c r="AX441">
        <v>44</v>
      </c>
      <c r="AY441">
        <v>870</v>
      </c>
      <c r="AZ441">
        <v>30</v>
      </c>
      <c r="BA441">
        <v>41</v>
      </c>
      <c r="BB441">
        <v>5</v>
      </c>
    </row>
    <row r="442" spans="1:54" x14ac:dyDescent="0.25">
      <c r="A442">
        <v>2258</v>
      </c>
      <c r="B442" t="s">
        <v>1122</v>
      </c>
      <c r="C442">
        <v>42.84</v>
      </c>
      <c r="D442">
        <v>0.54</v>
      </c>
      <c r="E442">
        <v>0.98</v>
      </c>
      <c r="F442">
        <v>0.03</v>
      </c>
      <c r="G442">
        <v>8.6</v>
      </c>
      <c r="H442">
        <v>0.19</v>
      </c>
      <c r="I442">
        <v>0.3</v>
      </c>
      <c r="J442">
        <v>0.01</v>
      </c>
      <c r="K442">
        <v>15.81</v>
      </c>
      <c r="L442">
        <v>0.2</v>
      </c>
      <c r="M442">
        <v>0.12</v>
      </c>
      <c r="N442">
        <v>0.01</v>
      </c>
      <c r="O442">
        <v>6.4</v>
      </c>
      <c r="P442">
        <v>0.17</v>
      </c>
      <c r="Q442">
        <v>6.89</v>
      </c>
      <c r="R442">
        <v>7.0000000000000007E-2</v>
      </c>
      <c r="S442">
        <v>2.67</v>
      </c>
      <c r="T442">
        <v>0.14000000000000001</v>
      </c>
      <c r="U442">
        <v>0.55000000000000004</v>
      </c>
      <c r="V442">
        <v>0.02</v>
      </c>
      <c r="W442">
        <v>0.95</v>
      </c>
      <c r="X442">
        <v>7.0000000000000007E-2</v>
      </c>
      <c r="Y442">
        <v>11.93</v>
      </c>
      <c r="Z442">
        <v>0.12</v>
      </c>
      <c r="AA442">
        <v>1.74</v>
      </c>
      <c r="AB442">
        <v>0.03</v>
      </c>
      <c r="AW442">
        <v>737</v>
      </c>
      <c r="AX442">
        <v>40</v>
      </c>
      <c r="AY442">
        <v>705</v>
      </c>
      <c r="AZ442">
        <v>24</v>
      </c>
      <c r="BA442">
        <v>137</v>
      </c>
      <c r="BB442">
        <v>5</v>
      </c>
    </row>
    <row r="443" spans="1:54" x14ac:dyDescent="0.25">
      <c r="A443">
        <v>2288</v>
      </c>
      <c r="B443" t="s">
        <v>1123</v>
      </c>
      <c r="C443">
        <v>37.65</v>
      </c>
      <c r="D443">
        <v>0.43</v>
      </c>
      <c r="E443">
        <v>0.99</v>
      </c>
      <c r="F443">
        <v>0.05</v>
      </c>
      <c r="G443">
        <v>7.54</v>
      </c>
      <c r="H443">
        <v>0.19</v>
      </c>
      <c r="I443">
        <v>0.33</v>
      </c>
      <c r="J443">
        <v>0.03</v>
      </c>
      <c r="K443">
        <v>20.28</v>
      </c>
      <c r="L443">
        <v>0.26</v>
      </c>
      <c r="M443">
        <v>0.1</v>
      </c>
      <c r="N443">
        <v>0.01</v>
      </c>
      <c r="O443">
        <v>3.92</v>
      </c>
      <c r="P443">
        <v>0.17</v>
      </c>
      <c r="Q443">
        <v>8.19</v>
      </c>
      <c r="R443">
        <v>0.08</v>
      </c>
      <c r="S443">
        <v>2.0699999999999998</v>
      </c>
      <c r="T443">
        <v>0.14000000000000001</v>
      </c>
      <c r="U443">
        <v>0.64</v>
      </c>
      <c r="V443">
        <v>0.02</v>
      </c>
      <c r="W443">
        <v>0.87</v>
      </c>
      <c r="X443">
        <v>0.05</v>
      </c>
      <c r="Y443">
        <v>14.96</v>
      </c>
      <c r="Z443">
        <v>0.17</v>
      </c>
      <c r="AA443">
        <v>2.06</v>
      </c>
      <c r="AB443">
        <v>0.04</v>
      </c>
      <c r="AW443">
        <v>1024</v>
      </c>
      <c r="AX443">
        <v>54</v>
      </c>
      <c r="AY443">
        <v>1005</v>
      </c>
      <c r="AZ443">
        <v>35</v>
      </c>
      <c r="BA443">
        <v>231</v>
      </c>
      <c r="BB443">
        <v>15</v>
      </c>
    </row>
    <row r="444" spans="1:54" x14ac:dyDescent="0.25">
      <c r="A444">
        <v>2288</v>
      </c>
      <c r="B444" t="s">
        <v>1124</v>
      </c>
      <c r="C444">
        <v>42.25</v>
      </c>
      <c r="D444">
        <v>0.43</v>
      </c>
      <c r="E444">
        <v>0.98</v>
      </c>
      <c r="F444">
        <v>0.03</v>
      </c>
      <c r="G444">
        <v>8.3699999999999992</v>
      </c>
      <c r="H444">
        <v>0.19</v>
      </c>
      <c r="I444">
        <v>0.4</v>
      </c>
      <c r="J444">
        <v>0.01</v>
      </c>
      <c r="K444">
        <v>20.190000000000001</v>
      </c>
      <c r="L444">
        <v>0.26</v>
      </c>
      <c r="M444">
        <v>0.22</v>
      </c>
      <c r="N444">
        <v>0.01</v>
      </c>
      <c r="O444">
        <v>6.14</v>
      </c>
      <c r="P444">
        <v>0.17</v>
      </c>
      <c r="Q444">
        <v>6.61</v>
      </c>
      <c r="R444">
        <v>7.0000000000000007E-2</v>
      </c>
      <c r="S444">
        <v>2.36</v>
      </c>
      <c r="T444">
        <v>0.14000000000000001</v>
      </c>
      <c r="U444">
        <v>0.57999999999999996</v>
      </c>
      <c r="V444">
        <v>0.02</v>
      </c>
      <c r="W444">
        <v>0.86</v>
      </c>
      <c r="X444">
        <v>0.05</v>
      </c>
      <c r="Y444">
        <v>9.3699999999999992</v>
      </c>
      <c r="Z444">
        <v>0.12</v>
      </c>
      <c r="AA444">
        <v>1.34</v>
      </c>
      <c r="AB444">
        <v>0.03</v>
      </c>
      <c r="AW444">
        <v>781</v>
      </c>
      <c r="AX444">
        <v>40</v>
      </c>
      <c r="AY444">
        <v>570</v>
      </c>
      <c r="AZ444">
        <v>20</v>
      </c>
      <c r="BA444">
        <v>83</v>
      </c>
      <c r="BB444">
        <v>10</v>
      </c>
    </row>
    <row r="445" spans="1:54" x14ac:dyDescent="0.25">
      <c r="A445">
        <v>2291</v>
      </c>
      <c r="B445" t="s">
        <v>1125</v>
      </c>
      <c r="C445">
        <v>37.369999999999997</v>
      </c>
      <c r="D445">
        <v>0.43</v>
      </c>
      <c r="E445">
        <v>1</v>
      </c>
      <c r="F445">
        <v>0.03</v>
      </c>
      <c r="G445">
        <v>7.33</v>
      </c>
      <c r="H445">
        <v>0.19</v>
      </c>
      <c r="I445">
        <v>0.31</v>
      </c>
      <c r="J445">
        <v>0.01</v>
      </c>
      <c r="K445">
        <v>20</v>
      </c>
      <c r="L445">
        <v>0.26</v>
      </c>
      <c r="M445">
        <v>0.08</v>
      </c>
      <c r="N445">
        <v>0.01</v>
      </c>
      <c r="O445">
        <v>3.97</v>
      </c>
      <c r="P445">
        <v>0.08</v>
      </c>
      <c r="Q445">
        <v>8.64</v>
      </c>
      <c r="R445">
        <v>0.1</v>
      </c>
      <c r="S445">
        <v>2.13</v>
      </c>
      <c r="T445">
        <v>7.0000000000000007E-2</v>
      </c>
      <c r="U445">
        <v>0.62</v>
      </c>
      <c r="V445">
        <v>0.02</v>
      </c>
      <c r="W445">
        <v>0.87</v>
      </c>
      <c r="X445">
        <v>0.05</v>
      </c>
      <c r="Y445">
        <v>15.28</v>
      </c>
      <c r="Z445">
        <v>0.17</v>
      </c>
      <c r="AA445">
        <v>2.1</v>
      </c>
      <c r="AB445">
        <v>0.03</v>
      </c>
      <c r="AW445">
        <v>995</v>
      </c>
      <c r="AX445">
        <v>49</v>
      </c>
      <c r="AY445">
        <v>918</v>
      </c>
      <c r="AZ445">
        <v>30</v>
      </c>
      <c r="BA445">
        <v>229</v>
      </c>
      <c r="BB445">
        <v>10</v>
      </c>
    </row>
    <row r="446" spans="1:54" x14ac:dyDescent="0.25">
      <c r="A446">
        <v>2292</v>
      </c>
      <c r="B446" t="s">
        <v>1126</v>
      </c>
      <c r="C446">
        <v>35.43</v>
      </c>
      <c r="D446">
        <v>0.43</v>
      </c>
      <c r="E446">
        <v>0.94</v>
      </c>
      <c r="F446">
        <v>0.03</v>
      </c>
      <c r="G446">
        <v>7.21</v>
      </c>
      <c r="H446">
        <v>0.19</v>
      </c>
      <c r="I446">
        <v>0.3</v>
      </c>
      <c r="J446">
        <v>0.01</v>
      </c>
      <c r="K446">
        <v>19.77</v>
      </c>
      <c r="L446">
        <v>0.26</v>
      </c>
      <c r="M446">
        <v>0.1</v>
      </c>
      <c r="N446">
        <v>0.01</v>
      </c>
      <c r="O446">
        <v>4.1399999999999997</v>
      </c>
      <c r="P446">
        <v>0.08</v>
      </c>
      <c r="Q446">
        <v>9.16</v>
      </c>
      <c r="R446">
        <v>0.1</v>
      </c>
      <c r="S446">
        <v>2.0299999999999998</v>
      </c>
      <c r="T446">
        <v>0.14000000000000001</v>
      </c>
      <c r="U446">
        <v>0.56999999999999995</v>
      </c>
      <c r="V446">
        <v>0.02</v>
      </c>
      <c r="W446">
        <v>0.94</v>
      </c>
      <c r="X446">
        <v>7.0000000000000007E-2</v>
      </c>
      <c r="Y446">
        <v>16.850000000000001</v>
      </c>
      <c r="Z446">
        <v>0.2</v>
      </c>
      <c r="AA446">
        <v>2.2799999999999998</v>
      </c>
      <c r="AB446">
        <v>0.04</v>
      </c>
      <c r="AW446">
        <v>877</v>
      </c>
      <c r="AX446">
        <v>44</v>
      </c>
      <c r="AY446">
        <v>877</v>
      </c>
      <c r="AZ446">
        <v>30</v>
      </c>
      <c r="BA446">
        <v>229</v>
      </c>
      <c r="BB446">
        <v>10</v>
      </c>
    </row>
    <row r="447" spans="1:54" x14ac:dyDescent="0.25">
      <c r="A447">
        <v>2295</v>
      </c>
      <c r="B447" t="s">
        <v>1127</v>
      </c>
      <c r="C447">
        <v>40.69</v>
      </c>
      <c r="D447">
        <v>0.43</v>
      </c>
      <c r="E447">
        <v>0.94</v>
      </c>
      <c r="F447">
        <v>0.03</v>
      </c>
      <c r="G447">
        <v>8.01</v>
      </c>
      <c r="H447">
        <v>0.19</v>
      </c>
      <c r="I447">
        <v>0.28000000000000003</v>
      </c>
      <c r="J447">
        <v>0.01</v>
      </c>
      <c r="K447">
        <v>15.92</v>
      </c>
      <c r="L447">
        <v>0.2</v>
      </c>
      <c r="M447">
        <v>0.09</v>
      </c>
      <c r="N447">
        <v>0.01</v>
      </c>
      <c r="O447">
        <v>5.5</v>
      </c>
      <c r="P447">
        <v>0.17</v>
      </c>
      <c r="Q447">
        <v>7.6</v>
      </c>
      <c r="R447">
        <v>0.08</v>
      </c>
      <c r="S447">
        <v>2.54</v>
      </c>
      <c r="T447">
        <v>0.14000000000000001</v>
      </c>
      <c r="U447">
        <v>0.51</v>
      </c>
      <c r="V447">
        <v>0.02</v>
      </c>
      <c r="W447">
        <v>0.98</v>
      </c>
      <c r="X447">
        <v>7.0000000000000007E-2</v>
      </c>
      <c r="Y447">
        <v>14.9</v>
      </c>
      <c r="Z447">
        <v>0.15</v>
      </c>
      <c r="AA447">
        <v>1.8</v>
      </c>
      <c r="AB447">
        <v>0.03</v>
      </c>
      <c r="AW447">
        <v>754</v>
      </c>
      <c r="AX447">
        <v>40</v>
      </c>
      <c r="AY447">
        <v>700</v>
      </c>
      <c r="AZ447">
        <v>24</v>
      </c>
      <c r="BA447">
        <v>178</v>
      </c>
      <c r="BB447">
        <v>10</v>
      </c>
    </row>
    <row r="448" spans="1:54" x14ac:dyDescent="0.25">
      <c r="A448">
        <v>2301</v>
      </c>
      <c r="B448" t="s">
        <v>1128</v>
      </c>
      <c r="C448">
        <v>46.76</v>
      </c>
      <c r="D448">
        <v>0.54</v>
      </c>
      <c r="E448">
        <v>1.1200000000000001</v>
      </c>
      <c r="F448">
        <v>0.05</v>
      </c>
      <c r="G448">
        <v>9.4700000000000006</v>
      </c>
      <c r="H448">
        <v>0.28999999999999998</v>
      </c>
      <c r="I448">
        <v>0.32</v>
      </c>
      <c r="J448">
        <v>0.03</v>
      </c>
      <c r="K448">
        <v>19.2</v>
      </c>
      <c r="L448">
        <v>0.2</v>
      </c>
      <c r="M448">
        <v>0.09</v>
      </c>
      <c r="N448">
        <v>0.01</v>
      </c>
      <c r="O448">
        <v>5.3</v>
      </c>
      <c r="P448">
        <v>0.17</v>
      </c>
      <c r="Q448">
        <v>4.43</v>
      </c>
      <c r="R448">
        <v>0.06</v>
      </c>
      <c r="S448">
        <v>2.39</v>
      </c>
      <c r="T448">
        <v>0.14000000000000001</v>
      </c>
      <c r="U448">
        <v>1.01</v>
      </c>
      <c r="V448">
        <v>0.04</v>
      </c>
      <c r="W448">
        <v>0.86</v>
      </c>
      <c r="X448">
        <v>0.05</v>
      </c>
      <c r="Y448">
        <v>7.24</v>
      </c>
      <c r="Z448">
        <v>0.15</v>
      </c>
      <c r="AA448">
        <v>1.46</v>
      </c>
      <c r="AB448">
        <v>0.04</v>
      </c>
      <c r="AW448">
        <v>895</v>
      </c>
      <c r="AX448">
        <v>44</v>
      </c>
      <c r="AY448">
        <v>1596</v>
      </c>
      <c r="AZ448">
        <v>49</v>
      </c>
      <c r="BA448">
        <v>234</v>
      </c>
      <c r="BB448">
        <v>10</v>
      </c>
    </row>
    <row r="449" spans="1:54" x14ac:dyDescent="0.25">
      <c r="A449">
        <v>2301</v>
      </c>
      <c r="B449" t="s">
        <v>1129</v>
      </c>
      <c r="C449">
        <v>48.34</v>
      </c>
      <c r="D449">
        <v>0.54</v>
      </c>
      <c r="E449">
        <v>1.1599999999999999</v>
      </c>
      <c r="F449">
        <v>0.05</v>
      </c>
      <c r="G449">
        <v>9.73</v>
      </c>
      <c r="H449">
        <v>0.28999999999999998</v>
      </c>
      <c r="I449">
        <v>0.34</v>
      </c>
      <c r="J449">
        <v>0.01</v>
      </c>
      <c r="K449">
        <v>19.98</v>
      </c>
      <c r="L449">
        <v>0.26</v>
      </c>
      <c r="M449">
        <v>0.09</v>
      </c>
      <c r="N449">
        <v>0.01</v>
      </c>
      <c r="O449">
        <v>4.57</v>
      </c>
      <c r="P449">
        <v>0.17</v>
      </c>
      <c r="Q449">
        <v>3.55</v>
      </c>
      <c r="R449">
        <v>0.04</v>
      </c>
      <c r="S449">
        <v>2.5299999999999998</v>
      </c>
      <c r="T449">
        <v>0.14000000000000001</v>
      </c>
      <c r="U449">
        <v>1.1399999999999999</v>
      </c>
      <c r="V449">
        <v>0.04</v>
      </c>
      <c r="W449">
        <v>0.75</v>
      </c>
      <c r="X449">
        <v>0.05</v>
      </c>
      <c r="Y449">
        <v>5.41</v>
      </c>
      <c r="Z449">
        <v>0.08</v>
      </c>
      <c r="AA449">
        <v>1.99</v>
      </c>
      <c r="AB449">
        <v>0.03</v>
      </c>
      <c r="AW449">
        <v>907</v>
      </c>
      <c r="AX449">
        <v>49</v>
      </c>
      <c r="AY449">
        <v>1825</v>
      </c>
      <c r="AZ449">
        <v>54</v>
      </c>
      <c r="BA449">
        <v>390</v>
      </c>
      <c r="BB449">
        <v>15</v>
      </c>
    </row>
    <row r="450" spans="1:54" x14ac:dyDescent="0.25">
      <c r="A450">
        <v>2308</v>
      </c>
      <c r="B450" t="s">
        <v>1130</v>
      </c>
      <c r="C450">
        <v>47.37</v>
      </c>
      <c r="D450">
        <v>0.54</v>
      </c>
      <c r="E450">
        <v>1.1000000000000001</v>
      </c>
      <c r="F450">
        <v>0.03</v>
      </c>
      <c r="G450">
        <v>9.36</v>
      </c>
      <c r="H450">
        <v>0.19</v>
      </c>
      <c r="I450">
        <v>0.42</v>
      </c>
      <c r="J450">
        <v>0.03</v>
      </c>
      <c r="K450">
        <v>21.5</v>
      </c>
      <c r="L450">
        <v>0.26</v>
      </c>
      <c r="M450">
        <v>0.23</v>
      </c>
      <c r="N450">
        <v>0.03</v>
      </c>
      <c r="O450">
        <v>6.68</v>
      </c>
      <c r="P450">
        <v>0.17</v>
      </c>
      <c r="Q450">
        <v>4.55</v>
      </c>
      <c r="R450">
        <v>0.06</v>
      </c>
      <c r="S450">
        <v>2.61</v>
      </c>
      <c r="T450">
        <v>0.14000000000000001</v>
      </c>
      <c r="U450">
        <v>0.87</v>
      </c>
      <c r="V450">
        <v>0.04</v>
      </c>
      <c r="W450">
        <v>0.72</v>
      </c>
      <c r="X450">
        <v>0.05</v>
      </c>
      <c r="Y450">
        <v>3.62</v>
      </c>
      <c r="Z450">
        <v>0.1</v>
      </c>
      <c r="AA450">
        <v>0.75</v>
      </c>
      <c r="AB450">
        <v>0.03</v>
      </c>
      <c r="AW450">
        <v>678</v>
      </c>
      <c r="AX450">
        <v>35</v>
      </c>
      <c r="AY450">
        <v>689</v>
      </c>
      <c r="AZ450">
        <v>24</v>
      </c>
      <c r="BA450">
        <v>35</v>
      </c>
      <c r="BB450">
        <v>10</v>
      </c>
    </row>
    <row r="451" spans="1:54" x14ac:dyDescent="0.25">
      <c r="A451">
        <v>2308</v>
      </c>
      <c r="B451" t="s">
        <v>1131</v>
      </c>
      <c r="C451">
        <v>47.04</v>
      </c>
      <c r="D451">
        <v>0.54</v>
      </c>
      <c r="E451">
        <v>1.0900000000000001</v>
      </c>
      <c r="F451">
        <v>0.03</v>
      </c>
      <c r="G451">
        <v>9.52</v>
      </c>
      <c r="H451">
        <v>0.28999999999999998</v>
      </c>
      <c r="I451">
        <v>0.47</v>
      </c>
      <c r="J451">
        <v>0.01</v>
      </c>
      <c r="K451">
        <v>21.1</v>
      </c>
      <c r="L451">
        <v>0.26</v>
      </c>
      <c r="M451">
        <v>0.24</v>
      </c>
      <c r="N451">
        <v>0.01</v>
      </c>
      <c r="O451">
        <v>6.98</v>
      </c>
      <c r="P451">
        <v>0.17</v>
      </c>
      <c r="Q451">
        <v>4.9800000000000004</v>
      </c>
      <c r="R451">
        <v>0.06</v>
      </c>
      <c r="S451">
        <v>2.67</v>
      </c>
      <c r="T451">
        <v>0.14000000000000001</v>
      </c>
      <c r="U451">
        <v>0.86</v>
      </c>
      <c r="V451">
        <v>0.04</v>
      </c>
      <c r="W451">
        <v>0.73</v>
      </c>
      <c r="X451">
        <v>0.05</v>
      </c>
      <c r="Y451">
        <v>3.46</v>
      </c>
      <c r="Z451">
        <v>0.05</v>
      </c>
      <c r="AA451">
        <v>0.68</v>
      </c>
      <c r="AB451">
        <v>0.02</v>
      </c>
      <c r="AW451">
        <v>612</v>
      </c>
      <c r="AX451">
        <v>35</v>
      </c>
      <c r="AY451">
        <v>511</v>
      </c>
      <c r="AZ451">
        <v>20</v>
      </c>
      <c r="BA451">
        <v>12</v>
      </c>
      <c r="BB451">
        <v>10</v>
      </c>
    </row>
    <row r="452" spans="1:54" x14ac:dyDescent="0.25">
      <c r="A452">
        <v>2315</v>
      </c>
      <c r="B452" t="s">
        <v>1132</v>
      </c>
      <c r="C452">
        <v>48.04</v>
      </c>
      <c r="D452">
        <v>0.54</v>
      </c>
      <c r="E452">
        <v>1.1200000000000001</v>
      </c>
      <c r="F452">
        <v>0.05</v>
      </c>
      <c r="G452">
        <v>9.3000000000000007</v>
      </c>
      <c r="H452">
        <v>0.19</v>
      </c>
      <c r="I452">
        <v>0.36</v>
      </c>
      <c r="J452">
        <v>0.03</v>
      </c>
      <c r="K452">
        <v>20.03</v>
      </c>
      <c r="L452">
        <v>0.26</v>
      </c>
      <c r="M452">
        <v>0.12</v>
      </c>
      <c r="N452">
        <v>0.01</v>
      </c>
      <c r="O452">
        <v>5.83</v>
      </c>
      <c r="P452">
        <v>0.17</v>
      </c>
      <c r="Q452">
        <v>4.0199999999999996</v>
      </c>
      <c r="R452">
        <v>0.06</v>
      </c>
      <c r="S452">
        <v>2.6</v>
      </c>
      <c r="T452">
        <v>0.14000000000000001</v>
      </c>
      <c r="U452">
        <v>1.1599999999999999</v>
      </c>
      <c r="V452">
        <v>0.04</v>
      </c>
      <c r="W452">
        <v>0.72</v>
      </c>
      <c r="X452">
        <v>0.05</v>
      </c>
      <c r="Y452">
        <v>5.04</v>
      </c>
      <c r="Z452">
        <v>0.1</v>
      </c>
      <c r="AA452">
        <v>1.37</v>
      </c>
      <c r="AB452">
        <v>0.04</v>
      </c>
      <c r="AW452">
        <v>780</v>
      </c>
      <c r="AX452">
        <v>40</v>
      </c>
      <c r="AY452">
        <v>926</v>
      </c>
      <c r="AZ452">
        <v>30</v>
      </c>
      <c r="BA452">
        <v>370</v>
      </c>
      <c r="BB452">
        <v>15</v>
      </c>
    </row>
    <row r="453" spans="1:54" x14ac:dyDescent="0.25">
      <c r="A453">
        <v>2315</v>
      </c>
      <c r="B453" t="s">
        <v>1133</v>
      </c>
      <c r="C453">
        <v>50.3</v>
      </c>
      <c r="D453">
        <v>0.54</v>
      </c>
      <c r="E453">
        <v>1.1299999999999999</v>
      </c>
      <c r="F453">
        <v>0.05</v>
      </c>
      <c r="G453">
        <v>9.5</v>
      </c>
      <c r="H453">
        <v>0.28999999999999998</v>
      </c>
      <c r="I453">
        <v>0.33</v>
      </c>
      <c r="J453">
        <v>0.03</v>
      </c>
      <c r="K453">
        <v>20.38</v>
      </c>
      <c r="L453">
        <v>0.26</v>
      </c>
      <c r="M453">
        <v>0.11</v>
      </c>
      <c r="N453">
        <v>0.01</v>
      </c>
      <c r="O453">
        <v>5.14</v>
      </c>
      <c r="P453">
        <v>0.17</v>
      </c>
      <c r="Q453">
        <v>3.16</v>
      </c>
      <c r="R453">
        <v>0.06</v>
      </c>
      <c r="S453">
        <v>2.68</v>
      </c>
      <c r="T453">
        <v>0.14000000000000001</v>
      </c>
      <c r="U453">
        <v>1.29</v>
      </c>
      <c r="V453">
        <v>0.05</v>
      </c>
      <c r="W453">
        <v>0.65</v>
      </c>
      <c r="X453">
        <v>0.05</v>
      </c>
      <c r="Y453">
        <v>3.87</v>
      </c>
      <c r="Z453">
        <v>0.1</v>
      </c>
      <c r="AA453">
        <v>1.17</v>
      </c>
      <c r="AB453">
        <v>0.04</v>
      </c>
      <c r="AW453">
        <v>798</v>
      </c>
      <c r="AX453">
        <v>40</v>
      </c>
      <c r="AY453">
        <v>980</v>
      </c>
      <c r="AZ453">
        <v>30</v>
      </c>
      <c r="BA453">
        <v>295</v>
      </c>
      <c r="BB453">
        <v>10</v>
      </c>
    </row>
    <row r="454" spans="1:54" x14ac:dyDescent="0.25">
      <c r="A454">
        <v>2315</v>
      </c>
      <c r="B454" t="s">
        <v>1134</v>
      </c>
      <c r="C454">
        <v>48.27</v>
      </c>
      <c r="D454">
        <v>0.54</v>
      </c>
      <c r="E454">
        <v>1.1299999999999999</v>
      </c>
      <c r="F454">
        <v>0.05</v>
      </c>
      <c r="G454">
        <v>9.32</v>
      </c>
      <c r="H454">
        <v>0.19</v>
      </c>
      <c r="I454">
        <v>0.35</v>
      </c>
      <c r="J454">
        <v>0.01</v>
      </c>
      <c r="K454">
        <v>20.03</v>
      </c>
      <c r="L454">
        <v>0.26</v>
      </c>
      <c r="M454">
        <v>0.12</v>
      </c>
      <c r="N454">
        <v>0.01</v>
      </c>
      <c r="O454">
        <v>5.66</v>
      </c>
      <c r="P454">
        <v>0.17</v>
      </c>
      <c r="Q454">
        <v>3.96</v>
      </c>
      <c r="R454">
        <v>0.04</v>
      </c>
      <c r="S454">
        <v>2.57</v>
      </c>
      <c r="T454">
        <v>0.14000000000000001</v>
      </c>
      <c r="U454">
        <v>1.19</v>
      </c>
      <c r="V454">
        <v>0.04</v>
      </c>
      <c r="W454">
        <v>0.72</v>
      </c>
      <c r="X454">
        <v>0.05</v>
      </c>
      <c r="Y454">
        <v>4.9800000000000004</v>
      </c>
      <c r="Z454">
        <v>0.08</v>
      </c>
      <c r="AA454">
        <v>1.39</v>
      </c>
      <c r="AB454">
        <v>0.02</v>
      </c>
      <c r="AW454">
        <v>767</v>
      </c>
      <c r="AX454">
        <v>40</v>
      </c>
      <c r="AY454">
        <v>948</v>
      </c>
      <c r="AZ454">
        <v>30</v>
      </c>
      <c r="BA454">
        <v>342</v>
      </c>
      <c r="BB454">
        <v>15</v>
      </c>
    </row>
    <row r="455" spans="1:54" x14ac:dyDescent="0.25">
      <c r="A455">
        <v>2318</v>
      </c>
      <c r="B455" t="s">
        <v>1135</v>
      </c>
      <c r="C455">
        <v>43.94</v>
      </c>
      <c r="D455">
        <v>0.54</v>
      </c>
      <c r="E455">
        <v>1.08</v>
      </c>
      <c r="F455">
        <v>0.03</v>
      </c>
      <c r="G455">
        <v>8.7799999999999994</v>
      </c>
      <c r="H455">
        <v>0.19</v>
      </c>
      <c r="I455">
        <v>0.33</v>
      </c>
      <c r="J455">
        <v>0.01</v>
      </c>
      <c r="K455">
        <v>18.34</v>
      </c>
      <c r="L455">
        <v>0.2</v>
      </c>
      <c r="M455">
        <v>0.22</v>
      </c>
      <c r="N455">
        <v>0.01</v>
      </c>
      <c r="O455">
        <v>6.7</v>
      </c>
      <c r="P455">
        <v>0.17</v>
      </c>
      <c r="Q455">
        <v>5.94</v>
      </c>
      <c r="R455">
        <v>7.0000000000000007E-2</v>
      </c>
      <c r="S455">
        <v>2.5</v>
      </c>
      <c r="T455">
        <v>0.14000000000000001</v>
      </c>
      <c r="U455">
        <v>0.7</v>
      </c>
      <c r="V455">
        <v>0.02</v>
      </c>
      <c r="W455">
        <v>0.75</v>
      </c>
      <c r="X455">
        <v>0.05</v>
      </c>
      <c r="Y455">
        <v>8.5</v>
      </c>
      <c r="Z455">
        <v>0.12</v>
      </c>
      <c r="AA455">
        <v>1.82</v>
      </c>
      <c r="AB455">
        <v>0.04</v>
      </c>
      <c r="AW455">
        <v>674</v>
      </c>
      <c r="AX455">
        <v>35</v>
      </c>
      <c r="AY455">
        <v>2333</v>
      </c>
      <c r="AZ455">
        <v>70</v>
      </c>
      <c r="BA455">
        <v>230</v>
      </c>
      <c r="BB455">
        <v>10</v>
      </c>
    </row>
    <row r="456" spans="1:54" x14ac:dyDescent="0.25">
      <c r="A456">
        <v>2318</v>
      </c>
      <c r="B456" t="s">
        <v>1136</v>
      </c>
      <c r="C456">
        <v>45.01</v>
      </c>
      <c r="D456">
        <v>0.54</v>
      </c>
      <c r="E456">
        <v>1.1299999999999999</v>
      </c>
      <c r="F456">
        <v>0.05</v>
      </c>
      <c r="G456">
        <v>9.0299999999999994</v>
      </c>
      <c r="H456">
        <v>0.19</v>
      </c>
      <c r="I456">
        <v>0.34</v>
      </c>
      <c r="J456">
        <v>0.01</v>
      </c>
      <c r="K456">
        <v>17.940000000000001</v>
      </c>
      <c r="L456">
        <v>0.2</v>
      </c>
      <c r="M456">
        <v>0.22</v>
      </c>
      <c r="N456">
        <v>0.01</v>
      </c>
      <c r="O456">
        <v>6.83</v>
      </c>
      <c r="P456">
        <v>0.17</v>
      </c>
      <c r="Q456">
        <v>5.38</v>
      </c>
      <c r="R456">
        <v>0.06</v>
      </c>
      <c r="S456">
        <v>2.73</v>
      </c>
      <c r="T456">
        <v>0.14000000000000001</v>
      </c>
      <c r="U456">
        <v>0.81</v>
      </c>
      <c r="V456">
        <v>0.04</v>
      </c>
      <c r="W456">
        <v>0.76</v>
      </c>
      <c r="X456">
        <v>0.05</v>
      </c>
      <c r="Y456">
        <v>7.29</v>
      </c>
      <c r="Z456">
        <v>0.1</v>
      </c>
      <c r="AA456">
        <v>2.12</v>
      </c>
      <c r="AB456">
        <v>0.03</v>
      </c>
      <c r="AW456">
        <v>659</v>
      </c>
      <c r="AX456">
        <v>35</v>
      </c>
      <c r="AY456">
        <v>2245</v>
      </c>
      <c r="AZ456">
        <v>70</v>
      </c>
      <c r="BA456">
        <v>375</v>
      </c>
      <c r="BB456">
        <v>15</v>
      </c>
    </row>
    <row r="457" spans="1:54" x14ac:dyDescent="0.25">
      <c r="A457">
        <v>2333</v>
      </c>
      <c r="B457" t="s">
        <v>1137</v>
      </c>
      <c r="C457">
        <v>41.36</v>
      </c>
      <c r="D457">
        <v>0.43</v>
      </c>
      <c r="E457">
        <v>0.95</v>
      </c>
      <c r="F457">
        <v>0.03</v>
      </c>
      <c r="G457">
        <v>8.51</v>
      </c>
      <c r="H457">
        <v>0.19</v>
      </c>
      <c r="I457">
        <v>0.26</v>
      </c>
      <c r="J457">
        <v>0.01</v>
      </c>
      <c r="K457">
        <v>17.28</v>
      </c>
      <c r="L457">
        <v>0.2</v>
      </c>
      <c r="M457">
        <v>0.28999999999999998</v>
      </c>
      <c r="N457">
        <v>0.01</v>
      </c>
      <c r="O457">
        <v>6.99</v>
      </c>
      <c r="P457">
        <v>0.17</v>
      </c>
      <c r="Q457">
        <v>6.64</v>
      </c>
      <c r="R457">
        <v>7.0000000000000007E-2</v>
      </c>
      <c r="S457">
        <v>2.5099999999999998</v>
      </c>
      <c r="T457">
        <v>0.14000000000000001</v>
      </c>
      <c r="U457">
        <v>0.63</v>
      </c>
      <c r="V457">
        <v>0.02</v>
      </c>
      <c r="W457">
        <v>0.89</v>
      </c>
      <c r="X457">
        <v>0.05</v>
      </c>
      <c r="Y457">
        <v>11.47</v>
      </c>
      <c r="Z457">
        <v>0.15</v>
      </c>
      <c r="AA457">
        <v>1.8</v>
      </c>
      <c r="AB457">
        <v>0.04</v>
      </c>
      <c r="AW457">
        <v>671</v>
      </c>
      <c r="AX457">
        <v>35</v>
      </c>
      <c r="AY457">
        <v>1513</v>
      </c>
      <c r="AZ457">
        <v>49</v>
      </c>
      <c r="BA457">
        <v>286</v>
      </c>
      <c r="BB457">
        <v>10</v>
      </c>
    </row>
    <row r="458" spans="1:54" x14ac:dyDescent="0.25">
      <c r="A458">
        <v>2333</v>
      </c>
      <c r="B458" t="s">
        <v>1138</v>
      </c>
      <c r="C458">
        <v>40.43</v>
      </c>
      <c r="D458">
        <v>0.43</v>
      </c>
      <c r="E458">
        <v>0.92</v>
      </c>
      <c r="F458">
        <v>0.03</v>
      </c>
      <c r="G458">
        <v>8.09</v>
      </c>
      <c r="H458">
        <v>0.19</v>
      </c>
      <c r="I458">
        <v>0.25</v>
      </c>
      <c r="J458">
        <v>0.01</v>
      </c>
      <c r="K458">
        <v>15.93</v>
      </c>
      <c r="L458">
        <v>0.2</v>
      </c>
      <c r="M458">
        <v>0.3</v>
      </c>
      <c r="N458">
        <v>0.01</v>
      </c>
      <c r="O458">
        <v>6.37</v>
      </c>
      <c r="P458">
        <v>0.17</v>
      </c>
      <c r="Q458">
        <v>8.33</v>
      </c>
      <c r="R458">
        <v>0.08</v>
      </c>
      <c r="S458">
        <v>2.4900000000000002</v>
      </c>
      <c r="T458">
        <v>0.14000000000000001</v>
      </c>
      <c r="U458">
        <v>0.57999999999999996</v>
      </c>
      <c r="V458">
        <v>0.02</v>
      </c>
      <c r="W458">
        <v>0.82</v>
      </c>
      <c r="X458">
        <v>0.05</v>
      </c>
      <c r="Y458">
        <v>13.21</v>
      </c>
      <c r="Z458">
        <v>0.15</v>
      </c>
      <c r="AA458">
        <v>1.8</v>
      </c>
      <c r="AB458">
        <v>0.03</v>
      </c>
      <c r="AW458">
        <v>568</v>
      </c>
      <c r="AX458">
        <v>30</v>
      </c>
      <c r="AY458">
        <v>1502</v>
      </c>
      <c r="AZ458">
        <v>49</v>
      </c>
      <c r="BA458">
        <v>505</v>
      </c>
      <c r="BB458">
        <v>20</v>
      </c>
    </row>
    <row r="459" spans="1:54" x14ac:dyDescent="0.25">
      <c r="A459">
        <v>2347</v>
      </c>
      <c r="B459" t="s">
        <v>1139</v>
      </c>
      <c r="C459">
        <v>48.66</v>
      </c>
      <c r="D459">
        <v>0.54</v>
      </c>
      <c r="E459">
        <v>1.1599999999999999</v>
      </c>
      <c r="F459">
        <v>0.05</v>
      </c>
      <c r="G459">
        <v>9.07</v>
      </c>
      <c r="H459">
        <v>0.19</v>
      </c>
      <c r="I459">
        <v>0.39</v>
      </c>
      <c r="J459">
        <v>0.03</v>
      </c>
      <c r="K459">
        <v>19.86</v>
      </c>
      <c r="L459">
        <v>0.26</v>
      </c>
      <c r="M459">
        <v>0.2</v>
      </c>
      <c r="N459">
        <v>0.03</v>
      </c>
      <c r="O459">
        <v>6.92</v>
      </c>
      <c r="P459">
        <v>0.17</v>
      </c>
      <c r="Q459">
        <v>3.81</v>
      </c>
      <c r="R459">
        <v>0.06</v>
      </c>
      <c r="S459">
        <v>2.46</v>
      </c>
      <c r="T459">
        <v>0.14000000000000001</v>
      </c>
      <c r="U459">
        <v>0.82</v>
      </c>
      <c r="V459">
        <v>0.04</v>
      </c>
      <c r="W459">
        <v>0.71</v>
      </c>
      <c r="X459">
        <v>0.05</v>
      </c>
      <c r="Y459">
        <v>3.99</v>
      </c>
      <c r="Z459">
        <v>0.1</v>
      </c>
      <c r="AA459">
        <v>1.47</v>
      </c>
      <c r="AB459">
        <v>0.04</v>
      </c>
      <c r="AW459">
        <v>878</v>
      </c>
      <c r="AX459">
        <v>44</v>
      </c>
      <c r="AY459">
        <v>2466</v>
      </c>
      <c r="AZ459">
        <v>74</v>
      </c>
      <c r="BA459">
        <v>386</v>
      </c>
      <c r="BB459">
        <v>15</v>
      </c>
    </row>
    <row r="460" spans="1:54" x14ac:dyDescent="0.25">
      <c r="A460">
        <v>2349</v>
      </c>
      <c r="B460" t="s">
        <v>1140</v>
      </c>
      <c r="C460">
        <v>46.82</v>
      </c>
      <c r="D460">
        <v>0.54</v>
      </c>
      <c r="E460">
        <v>1.1200000000000001</v>
      </c>
      <c r="F460">
        <v>0.05</v>
      </c>
      <c r="G460">
        <v>8.94</v>
      </c>
      <c r="H460">
        <v>0.19</v>
      </c>
      <c r="I460">
        <v>0.45</v>
      </c>
      <c r="J460">
        <v>0.03</v>
      </c>
      <c r="K460">
        <v>21.56</v>
      </c>
      <c r="L460">
        <v>0.26</v>
      </c>
      <c r="M460">
        <v>0.22</v>
      </c>
      <c r="N460">
        <v>0.01</v>
      </c>
      <c r="O460">
        <v>6.86</v>
      </c>
      <c r="P460">
        <v>0.17</v>
      </c>
      <c r="Q460">
        <v>4.38</v>
      </c>
      <c r="R460">
        <v>0.06</v>
      </c>
      <c r="S460">
        <v>2.56</v>
      </c>
      <c r="T460">
        <v>0.14000000000000001</v>
      </c>
      <c r="U460">
        <v>0.91</v>
      </c>
      <c r="V460">
        <v>0.04</v>
      </c>
      <c r="W460">
        <v>0.75</v>
      </c>
      <c r="X460">
        <v>0.05</v>
      </c>
      <c r="Y460">
        <v>3.93</v>
      </c>
      <c r="Z460">
        <v>0.1</v>
      </c>
      <c r="AA460">
        <v>1.18</v>
      </c>
      <c r="AB460">
        <v>0.03</v>
      </c>
      <c r="AW460">
        <v>724</v>
      </c>
      <c r="AX460">
        <v>40</v>
      </c>
      <c r="AY460">
        <v>874</v>
      </c>
      <c r="AZ460">
        <v>30</v>
      </c>
      <c r="BA460">
        <v>900</v>
      </c>
      <c r="BB460">
        <v>30</v>
      </c>
    </row>
    <row r="461" spans="1:54" x14ac:dyDescent="0.25">
      <c r="A461">
        <v>2349</v>
      </c>
      <c r="B461" t="s">
        <v>1141</v>
      </c>
      <c r="C461">
        <v>44.94</v>
      </c>
      <c r="D461">
        <v>0.54</v>
      </c>
      <c r="E461">
        <v>1.23</v>
      </c>
      <c r="F461">
        <v>0.05</v>
      </c>
      <c r="G461">
        <v>8.6199999999999992</v>
      </c>
      <c r="H461">
        <v>0.19</v>
      </c>
      <c r="I461">
        <v>0.53</v>
      </c>
      <c r="J461">
        <v>0.03</v>
      </c>
      <c r="K461">
        <v>21.59</v>
      </c>
      <c r="L461">
        <v>0.26</v>
      </c>
      <c r="M461">
        <v>0.3</v>
      </c>
      <c r="N461">
        <v>0.01</v>
      </c>
      <c r="O461">
        <v>7.64</v>
      </c>
      <c r="P461">
        <v>0.17</v>
      </c>
      <c r="Q461">
        <v>5.41</v>
      </c>
      <c r="R461">
        <v>0.06</v>
      </c>
      <c r="S461">
        <v>2.44</v>
      </c>
      <c r="T461">
        <v>0.14000000000000001</v>
      </c>
      <c r="U461">
        <v>0.7</v>
      </c>
      <c r="V461">
        <v>0.02</v>
      </c>
      <c r="W461">
        <v>0.79</v>
      </c>
      <c r="X461">
        <v>0.05</v>
      </c>
      <c r="Y461">
        <v>4.6100000000000003</v>
      </c>
      <c r="Z461">
        <v>0.1</v>
      </c>
      <c r="AA461">
        <v>0.95</v>
      </c>
      <c r="AB461">
        <v>0.03</v>
      </c>
      <c r="AW461">
        <v>696</v>
      </c>
      <c r="AX461">
        <v>35</v>
      </c>
      <c r="AY461">
        <v>632</v>
      </c>
      <c r="AZ461">
        <v>20</v>
      </c>
      <c r="BA461">
        <v>649</v>
      </c>
      <c r="BB461">
        <v>20</v>
      </c>
    </row>
    <row r="462" spans="1:54" x14ac:dyDescent="0.25">
      <c r="A462">
        <v>2349</v>
      </c>
      <c r="B462" t="s">
        <v>1142</v>
      </c>
      <c r="C462">
        <v>44.33</v>
      </c>
      <c r="D462">
        <v>0.54</v>
      </c>
      <c r="E462">
        <v>1.08</v>
      </c>
      <c r="F462">
        <v>0.03</v>
      </c>
      <c r="G462">
        <v>8.2100000000000009</v>
      </c>
      <c r="H462">
        <v>0.19</v>
      </c>
      <c r="I462">
        <v>0.32</v>
      </c>
      <c r="J462">
        <v>0.01</v>
      </c>
      <c r="K462">
        <v>16.59</v>
      </c>
      <c r="L462">
        <v>0.2</v>
      </c>
      <c r="M462">
        <v>0.21</v>
      </c>
      <c r="N462">
        <v>0.01</v>
      </c>
      <c r="O462">
        <v>6.39</v>
      </c>
      <c r="P462">
        <v>0.17</v>
      </c>
      <c r="Q462">
        <v>6.88</v>
      </c>
      <c r="R462">
        <v>7.0000000000000007E-2</v>
      </c>
      <c r="S462">
        <v>2.27</v>
      </c>
      <c r="T462">
        <v>0.14000000000000001</v>
      </c>
      <c r="U462">
        <v>0.73</v>
      </c>
      <c r="V462">
        <v>0.02</v>
      </c>
      <c r="W462">
        <v>0.74</v>
      </c>
      <c r="X462">
        <v>0.05</v>
      </c>
      <c r="Y462">
        <v>10.26</v>
      </c>
      <c r="Z462">
        <v>0.12</v>
      </c>
      <c r="AA462">
        <v>1.52</v>
      </c>
      <c r="AB462">
        <v>0.02</v>
      </c>
      <c r="AW462">
        <v>723</v>
      </c>
      <c r="AX462">
        <v>40</v>
      </c>
      <c r="AY462">
        <v>2202</v>
      </c>
      <c r="AZ462">
        <v>70</v>
      </c>
      <c r="BA462">
        <v>577</v>
      </c>
      <c r="BB462">
        <v>20</v>
      </c>
    </row>
    <row r="463" spans="1:54" x14ac:dyDescent="0.25">
      <c r="A463">
        <v>2356</v>
      </c>
      <c r="B463" t="s">
        <v>1143</v>
      </c>
      <c r="C463">
        <v>48.49</v>
      </c>
      <c r="D463">
        <v>0.54</v>
      </c>
      <c r="E463">
        <v>1.1200000000000001</v>
      </c>
      <c r="F463">
        <v>0.05</v>
      </c>
      <c r="G463">
        <v>8.6999999999999993</v>
      </c>
      <c r="H463">
        <v>0.19</v>
      </c>
      <c r="I463">
        <v>0.33</v>
      </c>
      <c r="J463">
        <v>0.01</v>
      </c>
      <c r="K463">
        <v>20.3</v>
      </c>
      <c r="L463">
        <v>0.26</v>
      </c>
      <c r="M463">
        <v>0.11</v>
      </c>
      <c r="N463">
        <v>0.01</v>
      </c>
      <c r="O463">
        <v>5.39</v>
      </c>
      <c r="P463">
        <v>0.17</v>
      </c>
      <c r="Q463">
        <v>3.9</v>
      </c>
      <c r="R463">
        <v>0.04</v>
      </c>
      <c r="S463">
        <v>2.52</v>
      </c>
      <c r="T463">
        <v>0.14000000000000001</v>
      </c>
      <c r="U463">
        <v>1.08</v>
      </c>
      <c r="V463">
        <v>0.04</v>
      </c>
      <c r="W463">
        <v>0.77</v>
      </c>
      <c r="X463">
        <v>0.05</v>
      </c>
      <c r="Y463">
        <v>5.41</v>
      </c>
      <c r="Z463">
        <v>0.08</v>
      </c>
      <c r="AA463">
        <v>1.45</v>
      </c>
      <c r="AB463">
        <v>0.03</v>
      </c>
      <c r="AW463">
        <v>829</v>
      </c>
      <c r="AX463">
        <v>44</v>
      </c>
      <c r="AY463">
        <v>859</v>
      </c>
      <c r="AZ463">
        <v>30</v>
      </c>
      <c r="BA463">
        <v>1587</v>
      </c>
      <c r="BB463">
        <v>49</v>
      </c>
    </row>
    <row r="464" spans="1:54" x14ac:dyDescent="0.25">
      <c r="A464">
        <v>2363</v>
      </c>
      <c r="B464" t="s">
        <v>1144</v>
      </c>
      <c r="C464">
        <v>49.53</v>
      </c>
      <c r="D464">
        <v>0.54</v>
      </c>
      <c r="E464">
        <v>1.1200000000000001</v>
      </c>
      <c r="F464">
        <v>0.05</v>
      </c>
      <c r="G464">
        <v>9.0500000000000007</v>
      </c>
      <c r="H464">
        <v>0.19</v>
      </c>
      <c r="I464">
        <v>0.33</v>
      </c>
      <c r="J464">
        <v>0.01</v>
      </c>
      <c r="K464">
        <v>22.37</v>
      </c>
      <c r="L464">
        <v>0.26</v>
      </c>
      <c r="M464">
        <v>0.24</v>
      </c>
      <c r="N464">
        <v>0.01</v>
      </c>
      <c r="O464">
        <v>5.23</v>
      </c>
      <c r="P464">
        <v>0.17</v>
      </c>
      <c r="Q464">
        <v>2.79</v>
      </c>
      <c r="R464">
        <v>0.04</v>
      </c>
      <c r="S464">
        <v>2.48</v>
      </c>
      <c r="T464">
        <v>0.14000000000000001</v>
      </c>
      <c r="U464">
        <v>1.07</v>
      </c>
      <c r="V464">
        <v>0.04</v>
      </c>
      <c r="W464">
        <v>0.74</v>
      </c>
      <c r="X464">
        <v>0.05</v>
      </c>
      <c r="Y464">
        <v>3.59</v>
      </c>
      <c r="Z464">
        <v>0.08</v>
      </c>
      <c r="AA464">
        <v>1.1100000000000001</v>
      </c>
      <c r="AB464">
        <v>0.03</v>
      </c>
      <c r="AW464">
        <v>962</v>
      </c>
      <c r="AX464">
        <v>49</v>
      </c>
      <c r="AY464">
        <v>1178</v>
      </c>
      <c r="AZ464">
        <v>40</v>
      </c>
      <c r="BA464">
        <v>416</v>
      </c>
      <c r="BB464">
        <v>15</v>
      </c>
    </row>
    <row r="465" spans="1:54" x14ac:dyDescent="0.25">
      <c r="A465">
        <v>2363</v>
      </c>
      <c r="B465" t="s">
        <v>1145</v>
      </c>
      <c r="C465">
        <v>51.21</v>
      </c>
      <c r="D465">
        <v>0.54</v>
      </c>
      <c r="E465">
        <v>1.1499999999999999</v>
      </c>
      <c r="F465">
        <v>0.05</v>
      </c>
      <c r="G465">
        <v>9.5399999999999991</v>
      </c>
      <c r="H465">
        <v>0.28999999999999998</v>
      </c>
      <c r="I465">
        <v>0.33</v>
      </c>
      <c r="J465">
        <v>0.01</v>
      </c>
      <c r="K465">
        <v>21.96</v>
      </c>
      <c r="L465">
        <v>0.26</v>
      </c>
      <c r="M465">
        <v>0.19</v>
      </c>
      <c r="N465">
        <v>0.01</v>
      </c>
      <c r="O465">
        <v>4.5</v>
      </c>
      <c r="P465">
        <v>0.17</v>
      </c>
      <c r="Q465">
        <v>2.38</v>
      </c>
      <c r="R465">
        <v>0.03</v>
      </c>
      <c r="S465">
        <v>2.63</v>
      </c>
      <c r="T465">
        <v>0.14000000000000001</v>
      </c>
      <c r="U465">
        <v>1.1200000000000001</v>
      </c>
      <c r="V465">
        <v>0.04</v>
      </c>
      <c r="W465">
        <v>0.7</v>
      </c>
      <c r="X465">
        <v>0.05</v>
      </c>
      <c r="Y465">
        <v>2.97</v>
      </c>
      <c r="Z465">
        <v>0.05</v>
      </c>
      <c r="AA465">
        <v>1.01</v>
      </c>
      <c r="AB465">
        <v>0.02</v>
      </c>
      <c r="AW465">
        <v>964</v>
      </c>
      <c r="AX465">
        <v>49</v>
      </c>
      <c r="AY465">
        <v>1123</v>
      </c>
      <c r="AZ465">
        <v>35</v>
      </c>
      <c r="BA465">
        <v>210</v>
      </c>
      <c r="BB465">
        <v>10</v>
      </c>
    </row>
    <row r="466" spans="1:54" x14ac:dyDescent="0.25">
      <c r="A466">
        <v>2367</v>
      </c>
      <c r="B466" t="s">
        <v>1146</v>
      </c>
      <c r="C466">
        <v>48.44</v>
      </c>
      <c r="D466">
        <v>0.54</v>
      </c>
      <c r="E466">
        <v>1.1200000000000001</v>
      </c>
      <c r="F466">
        <v>0.05</v>
      </c>
      <c r="G466">
        <v>9.44</v>
      </c>
      <c r="H466">
        <v>0.19</v>
      </c>
      <c r="I466">
        <v>0.3</v>
      </c>
      <c r="J466">
        <v>0.01</v>
      </c>
      <c r="K466">
        <v>19.489999999999998</v>
      </c>
      <c r="L466">
        <v>0.26</v>
      </c>
      <c r="M466">
        <v>0.33</v>
      </c>
      <c r="N466">
        <v>0.01</v>
      </c>
      <c r="O466">
        <v>7.03</v>
      </c>
      <c r="P466">
        <v>0.17</v>
      </c>
      <c r="Q466">
        <v>3.21</v>
      </c>
      <c r="R466">
        <v>0.04</v>
      </c>
      <c r="S466">
        <v>2.46</v>
      </c>
      <c r="T466">
        <v>0.14000000000000001</v>
      </c>
      <c r="U466">
        <v>0.75</v>
      </c>
      <c r="V466">
        <v>0.02</v>
      </c>
      <c r="W466">
        <v>0.82</v>
      </c>
      <c r="X466">
        <v>0.05</v>
      </c>
      <c r="Y466">
        <v>4.16</v>
      </c>
      <c r="Z466">
        <v>0.05</v>
      </c>
      <c r="AA466">
        <v>1.88</v>
      </c>
      <c r="AB466">
        <v>0.03</v>
      </c>
      <c r="AW466">
        <v>640</v>
      </c>
      <c r="AX466">
        <v>35</v>
      </c>
      <c r="AY466">
        <v>3698</v>
      </c>
      <c r="AZ466">
        <v>115</v>
      </c>
      <c r="BA466">
        <v>485</v>
      </c>
      <c r="BB466">
        <v>15</v>
      </c>
    </row>
    <row r="467" spans="1:54" x14ac:dyDescent="0.25">
      <c r="A467">
        <v>2377</v>
      </c>
      <c r="B467" t="s">
        <v>1147</v>
      </c>
      <c r="C467">
        <v>44.29</v>
      </c>
      <c r="D467">
        <v>0.54</v>
      </c>
      <c r="E467">
        <v>0.97</v>
      </c>
      <c r="F467">
        <v>0.03</v>
      </c>
      <c r="G467">
        <v>9.2100000000000009</v>
      </c>
      <c r="H467">
        <v>0.19</v>
      </c>
      <c r="I467">
        <v>0.45</v>
      </c>
      <c r="J467">
        <v>0.03</v>
      </c>
      <c r="K467">
        <v>21.01</v>
      </c>
      <c r="L467">
        <v>0.26</v>
      </c>
      <c r="M467">
        <v>0.33</v>
      </c>
      <c r="N467">
        <v>0.03</v>
      </c>
      <c r="O467">
        <v>8.8000000000000007</v>
      </c>
      <c r="P467">
        <v>0.25</v>
      </c>
      <c r="Q467">
        <v>6.07</v>
      </c>
      <c r="R467">
        <v>7.0000000000000007E-2</v>
      </c>
      <c r="S467">
        <v>2.57</v>
      </c>
      <c r="T467">
        <v>0.14000000000000001</v>
      </c>
      <c r="U467">
        <v>0.61</v>
      </c>
      <c r="V467">
        <v>0.02</v>
      </c>
      <c r="W467">
        <v>0.77</v>
      </c>
      <c r="X467">
        <v>0.05</v>
      </c>
      <c r="Y467">
        <v>3.73</v>
      </c>
      <c r="Z467">
        <v>0.1</v>
      </c>
      <c r="AA467">
        <v>0.82</v>
      </c>
      <c r="AB467">
        <v>0.03</v>
      </c>
      <c r="AW467">
        <v>672</v>
      </c>
      <c r="AX467">
        <v>35</v>
      </c>
      <c r="AY467">
        <v>632</v>
      </c>
      <c r="AZ467">
        <v>20</v>
      </c>
      <c r="BA467">
        <v>280</v>
      </c>
      <c r="BB467">
        <v>10</v>
      </c>
    </row>
    <row r="468" spans="1:54" x14ac:dyDescent="0.25">
      <c r="A468">
        <v>2377</v>
      </c>
      <c r="B468" t="s">
        <v>1148</v>
      </c>
      <c r="C468">
        <v>42.36</v>
      </c>
      <c r="D468">
        <v>0.43</v>
      </c>
      <c r="E468">
        <v>0.99</v>
      </c>
      <c r="F468">
        <v>0.03</v>
      </c>
      <c r="G468">
        <v>9</v>
      </c>
      <c r="H468">
        <v>0.19</v>
      </c>
      <c r="I468">
        <v>0.45</v>
      </c>
      <c r="J468">
        <v>0.01</v>
      </c>
      <c r="K468">
        <v>20.69</v>
      </c>
      <c r="L468">
        <v>0.26</v>
      </c>
      <c r="M468">
        <v>0.41</v>
      </c>
      <c r="N468">
        <v>0.01</v>
      </c>
      <c r="O468">
        <v>8.65</v>
      </c>
      <c r="P468">
        <v>0.25</v>
      </c>
      <c r="Q468">
        <v>7.25</v>
      </c>
      <c r="R468">
        <v>0.08</v>
      </c>
      <c r="S468">
        <v>2.4900000000000002</v>
      </c>
      <c r="T468">
        <v>0.14000000000000001</v>
      </c>
      <c r="U468">
        <v>0.48</v>
      </c>
      <c r="V468">
        <v>0.02</v>
      </c>
      <c r="W468">
        <v>0.78</v>
      </c>
      <c r="X468">
        <v>0.05</v>
      </c>
      <c r="Y468">
        <v>5.58</v>
      </c>
      <c r="Z468">
        <v>0.08</v>
      </c>
      <c r="AA468">
        <v>0.64</v>
      </c>
      <c r="AB468">
        <v>0.02</v>
      </c>
      <c r="AW468">
        <v>659</v>
      </c>
      <c r="AX468">
        <v>35</v>
      </c>
      <c r="AY468">
        <v>645</v>
      </c>
      <c r="AZ468">
        <v>20</v>
      </c>
      <c r="BA468">
        <v>44</v>
      </c>
      <c r="BB468">
        <v>5</v>
      </c>
    </row>
    <row r="469" spans="1:54" x14ac:dyDescent="0.25">
      <c r="A469">
        <v>2379</v>
      </c>
      <c r="B469" t="s">
        <v>1149</v>
      </c>
      <c r="C469">
        <v>41.55</v>
      </c>
      <c r="D469">
        <v>0.43</v>
      </c>
      <c r="E469">
        <v>1.08</v>
      </c>
      <c r="F469">
        <v>0.03</v>
      </c>
      <c r="G469">
        <v>8.24</v>
      </c>
      <c r="H469">
        <v>0.19</v>
      </c>
      <c r="I469">
        <v>0.38</v>
      </c>
      <c r="J469">
        <v>0.01</v>
      </c>
      <c r="K469">
        <v>20.59</v>
      </c>
      <c r="L469">
        <v>0.26</v>
      </c>
      <c r="M469">
        <v>0.36</v>
      </c>
      <c r="N469">
        <v>0.01</v>
      </c>
      <c r="O469">
        <v>5.84</v>
      </c>
      <c r="P469">
        <v>0.17</v>
      </c>
      <c r="Q469">
        <v>7.03</v>
      </c>
      <c r="R469">
        <v>0.08</v>
      </c>
      <c r="S469">
        <v>2.21</v>
      </c>
      <c r="T469">
        <v>0.14000000000000001</v>
      </c>
      <c r="U469">
        <v>0.6</v>
      </c>
      <c r="V469">
        <v>0.02</v>
      </c>
      <c r="W469">
        <v>0.81</v>
      </c>
      <c r="X469">
        <v>0.05</v>
      </c>
      <c r="Y469">
        <v>9.89</v>
      </c>
      <c r="Z469">
        <v>0.12</v>
      </c>
      <c r="AA469">
        <v>0.95</v>
      </c>
      <c r="AB469">
        <v>0.02</v>
      </c>
      <c r="AW469">
        <v>817</v>
      </c>
      <c r="AX469">
        <v>44</v>
      </c>
      <c r="AY469">
        <v>2494</v>
      </c>
      <c r="AZ469">
        <v>74</v>
      </c>
      <c r="BA469">
        <v>210</v>
      </c>
      <c r="BB469">
        <v>10</v>
      </c>
    </row>
    <row r="470" spans="1:54" x14ac:dyDescent="0.25">
      <c r="A470">
        <v>2380</v>
      </c>
      <c r="B470" t="s">
        <v>1150</v>
      </c>
      <c r="C470">
        <v>42.28</v>
      </c>
      <c r="D470">
        <v>0.54</v>
      </c>
      <c r="E470">
        <v>1.18</v>
      </c>
      <c r="F470">
        <v>0.05</v>
      </c>
      <c r="G470">
        <v>7.79</v>
      </c>
      <c r="H470">
        <v>0.19</v>
      </c>
      <c r="I470">
        <v>0.36</v>
      </c>
      <c r="J470">
        <v>0.03</v>
      </c>
      <c r="K470">
        <v>20.74</v>
      </c>
      <c r="L470">
        <v>0.26</v>
      </c>
      <c r="M470">
        <v>0.38</v>
      </c>
      <c r="N470">
        <v>0.03</v>
      </c>
      <c r="O470">
        <v>6.74</v>
      </c>
      <c r="P470">
        <v>0.17</v>
      </c>
      <c r="Q470">
        <v>6.56</v>
      </c>
      <c r="R470">
        <v>7.0000000000000007E-2</v>
      </c>
      <c r="S470">
        <v>2.2400000000000002</v>
      </c>
      <c r="T470">
        <v>0.2</v>
      </c>
      <c r="U470">
        <v>0.6</v>
      </c>
      <c r="V470">
        <v>0.02</v>
      </c>
      <c r="W470">
        <v>0.75</v>
      </c>
      <c r="X470">
        <v>0.05</v>
      </c>
      <c r="Y470">
        <v>9.17</v>
      </c>
      <c r="Z470">
        <v>0.17</v>
      </c>
      <c r="AA470">
        <v>0.55000000000000004</v>
      </c>
      <c r="AB470">
        <v>0.03</v>
      </c>
      <c r="AW470">
        <v>701</v>
      </c>
      <c r="AX470">
        <v>40</v>
      </c>
      <c r="AY470">
        <v>4228</v>
      </c>
      <c r="AZ470">
        <v>130</v>
      </c>
      <c r="BA470">
        <v>644</v>
      </c>
      <c r="BB470">
        <v>20</v>
      </c>
    </row>
    <row r="471" spans="1:54" x14ac:dyDescent="0.25">
      <c r="A471">
        <v>2380</v>
      </c>
      <c r="B471" t="s">
        <v>1151</v>
      </c>
      <c r="C471">
        <v>42.46</v>
      </c>
      <c r="D471">
        <v>0.43</v>
      </c>
      <c r="E471">
        <v>1.2</v>
      </c>
      <c r="F471">
        <v>0.05</v>
      </c>
      <c r="G471">
        <v>8.34</v>
      </c>
      <c r="H471">
        <v>0.19</v>
      </c>
      <c r="I471">
        <v>0.35</v>
      </c>
      <c r="J471">
        <v>0.01</v>
      </c>
      <c r="K471">
        <v>21.38</v>
      </c>
      <c r="L471">
        <v>0.26</v>
      </c>
      <c r="M471">
        <v>0.42</v>
      </c>
      <c r="N471">
        <v>0.01</v>
      </c>
      <c r="O471">
        <v>6.89</v>
      </c>
      <c r="P471">
        <v>0.17</v>
      </c>
      <c r="Q471">
        <v>6.07</v>
      </c>
      <c r="R471">
        <v>7.0000000000000007E-2</v>
      </c>
      <c r="S471">
        <v>2.2400000000000002</v>
      </c>
      <c r="T471">
        <v>0.14000000000000001</v>
      </c>
      <c r="U471">
        <v>0.63</v>
      </c>
      <c r="V471">
        <v>0.02</v>
      </c>
      <c r="W471">
        <v>0.77</v>
      </c>
      <c r="X471">
        <v>0.05</v>
      </c>
      <c r="Y471">
        <v>8</v>
      </c>
      <c r="Z471">
        <v>0.12</v>
      </c>
      <c r="AA471">
        <v>0.55000000000000004</v>
      </c>
      <c r="AB471">
        <v>0.02</v>
      </c>
      <c r="AW471">
        <v>755</v>
      </c>
      <c r="AX471">
        <v>40</v>
      </c>
      <c r="AY471">
        <v>4350</v>
      </c>
      <c r="AZ471">
        <v>135</v>
      </c>
      <c r="BA471">
        <v>529</v>
      </c>
      <c r="BB471">
        <v>20</v>
      </c>
    </row>
    <row r="472" spans="1:54" x14ac:dyDescent="0.25">
      <c r="A472">
        <v>2382</v>
      </c>
      <c r="B472" t="s">
        <v>1152</v>
      </c>
      <c r="C472">
        <v>47.09</v>
      </c>
      <c r="D472">
        <v>0.54</v>
      </c>
      <c r="E472">
        <v>1.1599999999999999</v>
      </c>
      <c r="F472">
        <v>0.05</v>
      </c>
      <c r="G472">
        <v>8.6300000000000008</v>
      </c>
      <c r="H472">
        <v>0.19</v>
      </c>
      <c r="I472">
        <v>0.36</v>
      </c>
      <c r="J472">
        <v>0.01</v>
      </c>
      <c r="K472">
        <v>19.690000000000001</v>
      </c>
      <c r="L472">
        <v>0.26</v>
      </c>
      <c r="M472">
        <v>0.4</v>
      </c>
      <c r="N472">
        <v>0.01</v>
      </c>
      <c r="O472">
        <v>7.49</v>
      </c>
      <c r="P472">
        <v>0.17</v>
      </c>
      <c r="Q472">
        <v>3.84</v>
      </c>
      <c r="R472">
        <v>0.04</v>
      </c>
      <c r="S472">
        <v>2.3199999999999998</v>
      </c>
      <c r="T472">
        <v>0.14000000000000001</v>
      </c>
      <c r="U472">
        <v>0.7</v>
      </c>
      <c r="V472">
        <v>0.02</v>
      </c>
      <c r="W472">
        <v>0.85</v>
      </c>
      <c r="X472">
        <v>0.05</v>
      </c>
      <c r="Y472">
        <v>5.43</v>
      </c>
      <c r="Z472">
        <v>0.1</v>
      </c>
      <c r="AA472">
        <v>1.4</v>
      </c>
      <c r="AB472">
        <v>0.03</v>
      </c>
      <c r="AW472">
        <v>729</v>
      </c>
      <c r="AX472">
        <v>40</v>
      </c>
      <c r="AY472">
        <v>3705</v>
      </c>
      <c r="AZ472">
        <v>115</v>
      </c>
      <c r="BA472">
        <v>1059</v>
      </c>
      <c r="BB472">
        <v>35</v>
      </c>
    </row>
    <row r="473" spans="1:54" x14ac:dyDescent="0.25">
      <c r="A473">
        <v>2382</v>
      </c>
      <c r="B473" t="s">
        <v>1153</v>
      </c>
      <c r="C473">
        <v>46.83</v>
      </c>
      <c r="D473">
        <v>0.54</v>
      </c>
      <c r="E473">
        <v>1.18</v>
      </c>
      <c r="F473">
        <v>0.05</v>
      </c>
      <c r="G473">
        <v>8.51</v>
      </c>
      <c r="H473">
        <v>0.19</v>
      </c>
      <c r="I473">
        <v>0.35</v>
      </c>
      <c r="J473">
        <v>0.01</v>
      </c>
      <c r="K473">
        <v>19.59</v>
      </c>
      <c r="L473">
        <v>0.26</v>
      </c>
      <c r="M473">
        <v>0.38</v>
      </c>
      <c r="N473">
        <v>0.01</v>
      </c>
      <c r="O473">
        <v>7.35</v>
      </c>
      <c r="P473">
        <v>0.17</v>
      </c>
      <c r="Q473">
        <v>4.17</v>
      </c>
      <c r="R473">
        <v>0.04</v>
      </c>
      <c r="S473">
        <v>2.2999999999999998</v>
      </c>
      <c r="T473">
        <v>0.14000000000000001</v>
      </c>
      <c r="U473">
        <v>0.7</v>
      </c>
      <c r="V473">
        <v>0.02</v>
      </c>
      <c r="W473">
        <v>0.86</v>
      </c>
      <c r="X473">
        <v>0.05</v>
      </c>
      <c r="Y473">
        <v>5.68</v>
      </c>
      <c r="Z473">
        <v>0.08</v>
      </c>
      <c r="AA473">
        <v>1.46</v>
      </c>
      <c r="AB473">
        <v>0.02</v>
      </c>
      <c r="AW473">
        <v>693</v>
      </c>
      <c r="AX473">
        <v>35</v>
      </c>
      <c r="AY473">
        <v>3510</v>
      </c>
      <c r="AZ473">
        <v>109</v>
      </c>
      <c r="BA473">
        <v>1085</v>
      </c>
      <c r="BB473">
        <v>35</v>
      </c>
    </row>
    <row r="474" spans="1:54" x14ac:dyDescent="0.25">
      <c r="A474">
        <v>2402</v>
      </c>
      <c r="B474" t="s">
        <v>1154</v>
      </c>
      <c r="C474">
        <v>38.56</v>
      </c>
      <c r="D474">
        <v>0.54</v>
      </c>
      <c r="E474">
        <v>1.1000000000000001</v>
      </c>
      <c r="F474">
        <v>0.05</v>
      </c>
      <c r="G474">
        <v>7.34</v>
      </c>
      <c r="H474">
        <v>0.19</v>
      </c>
      <c r="I474">
        <v>0.36</v>
      </c>
      <c r="J474">
        <v>0.03</v>
      </c>
      <c r="K474">
        <v>19.86</v>
      </c>
      <c r="L474">
        <v>0.26</v>
      </c>
      <c r="M474">
        <v>0.61</v>
      </c>
      <c r="N474">
        <v>0.03</v>
      </c>
      <c r="O474">
        <v>5.66</v>
      </c>
      <c r="P474">
        <v>0.17</v>
      </c>
      <c r="Q474">
        <v>9.23</v>
      </c>
      <c r="R474">
        <v>0.1</v>
      </c>
      <c r="S474">
        <v>1.78</v>
      </c>
      <c r="T474">
        <v>0.14000000000000001</v>
      </c>
      <c r="U474">
        <v>0.62</v>
      </c>
      <c r="V474">
        <v>0.02</v>
      </c>
      <c r="W474">
        <v>0.97</v>
      </c>
      <c r="X474">
        <v>7.0000000000000007E-2</v>
      </c>
      <c r="Y474">
        <v>12.96</v>
      </c>
      <c r="Z474">
        <v>0.2</v>
      </c>
      <c r="AA474">
        <v>0.32</v>
      </c>
      <c r="AB474">
        <v>0.02</v>
      </c>
      <c r="AW474">
        <v>662</v>
      </c>
      <c r="AX474">
        <v>35</v>
      </c>
      <c r="AY474">
        <v>4411</v>
      </c>
      <c r="AZ474">
        <v>135</v>
      </c>
      <c r="BA474">
        <v>129</v>
      </c>
      <c r="BB474">
        <v>10</v>
      </c>
    </row>
    <row r="475" spans="1:54" x14ac:dyDescent="0.25">
      <c r="A475">
        <v>2402</v>
      </c>
      <c r="B475" t="s">
        <v>1155</v>
      </c>
      <c r="C475">
        <v>38.409999999999997</v>
      </c>
      <c r="D475">
        <v>0.43</v>
      </c>
      <c r="E475">
        <v>1.1499999999999999</v>
      </c>
      <c r="F475">
        <v>0.05</v>
      </c>
      <c r="G475">
        <v>7.19</v>
      </c>
      <c r="H475">
        <v>0.19</v>
      </c>
      <c r="I475">
        <v>0.38</v>
      </c>
      <c r="J475">
        <v>0.01</v>
      </c>
      <c r="K475">
        <v>20.09</v>
      </c>
      <c r="L475">
        <v>0.26</v>
      </c>
      <c r="M475">
        <v>0.57999999999999996</v>
      </c>
      <c r="N475">
        <v>0.01</v>
      </c>
      <c r="O475">
        <v>5.62</v>
      </c>
      <c r="P475">
        <v>0.17</v>
      </c>
      <c r="Q475">
        <v>9.41</v>
      </c>
      <c r="R475">
        <v>0.1</v>
      </c>
      <c r="S475">
        <v>1.78</v>
      </c>
      <c r="T475">
        <v>7.0000000000000007E-2</v>
      </c>
      <c r="U475">
        <v>0.6</v>
      </c>
      <c r="V475">
        <v>0.02</v>
      </c>
      <c r="W475">
        <v>0.94</v>
      </c>
      <c r="X475">
        <v>7.0000000000000007E-2</v>
      </c>
      <c r="Y475">
        <v>12.92</v>
      </c>
      <c r="Z475">
        <v>0.15</v>
      </c>
      <c r="AA475">
        <v>0.32</v>
      </c>
      <c r="AB475">
        <v>0.01</v>
      </c>
      <c r="AW475">
        <v>775</v>
      </c>
      <c r="AX475">
        <v>40</v>
      </c>
      <c r="AY475">
        <v>4163</v>
      </c>
      <c r="AZ475">
        <v>125</v>
      </c>
      <c r="BA475">
        <v>107</v>
      </c>
      <c r="BB475">
        <v>5</v>
      </c>
    </row>
    <row r="476" spans="1:54" x14ac:dyDescent="0.25">
      <c r="A476">
        <v>2409</v>
      </c>
      <c r="B476" t="s">
        <v>1156</v>
      </c>
      <c r="C476">
        <v>42.58</v>
      </c>
      <c r="D476">
        <v>0.54</v>
      </c>
      <c r="E476">
        <v>0.86</v>
      </c>
      <c r="F476">
        <v>0.03</v>
      </c>
      <c r="G476">
        <v>8.7200000000000006</v>
      </c>
      <c r="H476">
        <v>0.19</v>
      </c>
      <c r="I476">
        <v>0.4</v>
      </c>
      <c r="J476">
        <v>0.03</v>
      </c>
      <c r="K476">
        <v>21.35</v>
      </c>
      <c r="L476">
        <v>0.26</v>
      </c>
      <c r="M476">
        <v>0.41</v>
      </c>
      <c r="N476">
        <v>0.03</v>
      </c>
      <c r="O476">
        <v>11.39</v>
      </c>
      <c r="P476">
        <v>0.25</v>
      </c>
      <c r="Q476">
        <v>7.02</v>
      </c>
      <c r="R476">
        <v>0.08</v>
      </c>
      <c r="S476">
        <v>2.52</v>
      </c>
      <c r="T476">
        <v>0.14000000000000001</v>
      </c>
      <c r="U476">
        <v>0.42</v>
      </c>
      <c r="V476">
        <v>0.02</v>
      </c>
      <c r="W476">
        <v>0.74</v>
      </c>
      <c r="X476">
        <v>0.05</v>
      </c>
      <c r="Y476">
        <v>2.93</v>
      </c>
      <c r="Z476">
        <v>0.1</v>
      </c>
      <c r="AA476">
        <v>0.48</v>
      </c>
      <c r="AB476">
        <v>0.03</v>
      </c>
      <c r="AW476">
        <v>1036</v>
      </c>
      <c r="AX476">
        <v>54</v>
      </c>
      <c r="AY476">
        <v>155</v>
      </c>
      <c r="AZ476">
        <v>15</v>
      </c>
      <c r="BA476">
        <v>59</v>
      </c>
      <c r="BB476">
        <v>10</v>
      </c>
    </row>
    <row r="477" spans="1:54" x14ac:dyDescent="0.25">
      <c r="A477">
        <v>2409</v>
      </c>
      <c r="B477" t="s">
        <v>1157</v>
      </c>
      <c r="C477">
        <v>44.59</v>
      </c>
      <c r="D477">
        <v>0.54</v>
      </c>
      <c r="E477">
        <v>0.9</v>
      </c>
      <c r="F477">
        <v>0.03</v>
      </c>
      <c r="G477">
        <v>9.06</v>
      </c>
      <c r="H477">
        <v>0.19</v>
      </c>
      <c r="I477">
        <v>0.48</v>
      </c>
      <c r="J477">
        <v>0.01</v>
      </c>
      <c r="K477">
        <v>20.13</v>
      </c>
      <c r="L477">
        <v>0.26</v>
      </c>
      <c r="M477">
        <v>0.42</v>
      </c>
      <c r="N477">
        <v>0.01</v>
      </c>
      <c r="O477">
        <v>9.76</v>
      </c>
      <c r="P477">
        <v>0.25</v>
      </c>
      <c r="Q477">
        <v>7.25</v>
      </c>
      <c r="R477">
        <v>0.08</v>
      </c>
      <c r="S477">
        <v>2.5299999999999998</v>
      </c>
      <c r="T477">
        <v>0.14000000000000001</v>
      </c>
      <c r="U477">
        <v>0.4</v>
      </c>
      <c r="V477">
        <v>0.02</v>
      </c>
      <c r="W477">
        <v>0.75</v>
      </c>
      <c r="X477">
        <v>0.05</v>
      </c>
      <c r="Y477">
        <v>3.12</v>
      </c>
      <c r="Z477">
        <v>0.08</v>
      </c>
      <c r="AA477">
        <v>0.48</v>
      </c>
      <c r="AB477">
        <v>0.02</v>
      </c>
      <c r="AW477">
        <v>529</v>
      </c>
      <c r="AX477">
        <v>30</v>
      </c>
      <c r="AY477">
        <v>209</v>
      </c>
      <c r="AZ477">
        <v>10</v>
      </c>
      <c r="BA477">
        <v>38</v>
      </c>
      <c r="BB477">
        <v>5</v>
      </c>
    </row>
    <row r="478" spans="1:54" x14ac:dyDescent="0.25">
      <c r="A478">
        <v>2410</v>
      </c>
      <c r="B478" t="s">
        <v>1158</v>
      </c>
      <c r="C478">
        <v>43.67</v>
      </c>
      <c r="D478">
        <v>0.54</v>
      </c>
      <c r="E478">
        <v>0.85</v>
      </c>
      <c r="F478">
        <v>0.03</v>
      </c>
      <c r="G478">
        <v>8.57</v>
      </c>
      <c r="H478">
        <v>0.19</v>
      </c>
      <c r="I478">
        <v>0.5</v>
      </c>
      <c r="J478">
        <v>0.03</v>
      </c>
      <c r="K478">
        <v>21.13</v>
      </c>
      <c r="L478">
        <v>0.26</v>
      </c>
      <c r="M478">
        <v>0.45</v>
      </c>
      <c r="N478">
        <v>0.03</v>
      </c>
      <c r="O478">
        <v>10.9</v>
      </c>
      <c r="P478">
        <v>0.25</v>
      </c>
      <c r="Q478">
        <v>6.92</v>
      </c>
      <c r="R478">
        <v>7.0000000000000007E-2</v>
      </c>
      <c r="S478">
        <v>2.4500000000000002</v>
      </c>
      <c r="T478">
        <v>0.14000000000000001</v>
      </c>
      <c r="U478">
        <v>0.35</v>
      </c>
      <c r="V478">
        <v>0.02</v>
      </c>
      <c r="W478">
        <v>0.7</v>
      </c>
      <c r="X478">
        <v>0.05</v>
      </c>
      <c r="Y478">
        <v>2.87</v>
      </c>
      <c r="Z478">
        <v>0.08</v>
      </c>
      <c r="AA478">
        <v>0.44</v>
      </c>
      <c r="AB478">
        <v>0.02</v>
      </c>
      <c r="AW478">
        <v>744</v>
      </c>
      <c r="AX478">
        <v>40</v>
      </c>
      <c r="AY478">
        <v>194</v>
      </c>
      <c r="AZ478">
        <v>15</v>
      </c>
      <c r="BA478">
        <v>57</v>
      </c>
      <c r="BB478">
        <v>5</v>
      </c>
    </row>
    <row r="479" spans="1:54" x14ac:dyDescent="0.25">
      <c r="A479">
        <v>2410</v>
      </c>
      <c r="B479" t="s">
        <v>1159</v>
      </c>
      <c r="C479">
        <v>44.25</v>
      </c>
      <c r="D479">
        <v>0.54</v>
      </c>
      <c r="E479">
        <v>0.88</v>
      </c>
      <c r="F479">
        <v>0.03</v>
      </c>
      <c r="G479">
        <v>10.029999999999999</v>
      </c>
      <c r="H479">
        <v>0.28999999999999998</v>
      </c>
      <c r="I479">
        <v>0.31</v>
      </c>
      <c r="J479">
        <v>0.01</v>
      </c>
      <c r="K479">
        <v>18.16</v>
      </c>
      <c r="L479">
        <v>0.2</v>
      </c>
      <c r="M479">
        <v>0.35</v>
      </c>
      <c r="N479">
        <v>0.01</v>
      </c>
      <c r="O479">
        <v>8.23</v>
      </c>
      <c r="P479">
        <v>0.17</v>
      </c>
      <c r="Q479">
        <v>7.37</v>
      </c>
      <c r="R479">
        <v>0.08</v>
      </c>
      <c r="S479">
        <v>2.79</v>
      </c>
      <c r="T479">
        <v>0.14000000000000001</v>
      </c>
      <c r="U479">
        <v>0.56000000000000005</v>
      </c>
      <c r="V479">
        <v>0.02</v>
      </c>
      <c r="W479">
        <v>0.94</v>
      </c>
      <c r="X479">
        <v>7.0000000000000007E-2</v>
      </c>
      <c r="Y479">
        <v>5.27</v>
      </c>
      <c r="Z479">
        <v>0.08</v>
      </c>
      <c r="AA479">
        <v>0.68</v>
      </c>
      <c r="AB479">
        <v>0.02</v>
      </c>
      <c r="AW479">
        <v>861</v>
      </c>
      <c r="AX479">
        <v>44</v>
      </c>
      <c r="AY479">
        <v>269</v>
      </c>
      <c r="AZ479">
        <v>10</v>
      </c>
      <c r="BA479">
        <v>96</v>
      </c>
      <c r="BB479">
        <v>5</v>
      </c>
    </row>
    <row r="480" spans="1:54" x14ac:dyDescent="0.25">
      <c r="A480">
        <v>2415</v>
      </c>
      <c r="B480" t="s">
        <v>1160</v>
      </c>
      <c r="C480">
        <v>47.34</v>
      </c>
      <c r="D480">
        <v>0.54</v>
      </c>
      <c r="E480">
        <v>1.1299999999999999</v>
      </c>
      <c r="F480">
        <v>0.05</v>
      </c>
      <c r="G480">
        <v>8.49</v>
      </c>
      <c r="H480">
        <v>0.19</v>
      </c>
      <c r="I480">
        <v>0.35</v>
      </c>
      <c r="J480">
        <v>0.03</v>
      </c>
      <c r="K480">
        <v>22.15</v>
      </c>
      <c r="L480">
        <v>0.26</v>
      </c>
      <c r="M480">
        <v>0.24</v>
      </c>
      <c r="N480">
        <v>0.03</v>
      </c>
      <c r="O480">
        <v>6.56</v>
      </c>
      <c r="P480">
        <v>0.17</v>
      </c>
      <c r="Q480">
        <v>3.3</v>
      </c>
      <c r="R480">
        <v>0.06</v>
      </c>
      <c r="S480">
        <v>2.37</v>
      </c>
      <c r="T480">
        <v>0.14000000000000001</v>
      </c>
      <c r="U480">
        <v>0.91</v>
      </c>
      <c r="V480">
        <v>0.04</v>
      </c>
      <c r="W480">
        <v>0.99</v>
      </c>
      <c r="X480">
        <v>7.0000000000000007E-2</v>
      </c>
      <c r="Y480">
        <v>4.2699999999999996</v>
      </c>
      <c r="Z480">
        <v>0.1</v>
      </c>
      <c r="AA480">
        <v>1.3</v>
      </c>
      <c r="AB480">
        <v>0.04</v>
      </c>
      <c r="AW480">
        <v>680</v>
      </c>
      <c r="AX480">
        <v>35</v>
      </c>
      <c r="AY480">
        <v>2404</v>
      </c>
      <c r="AZ480">
        <v>74</v>
      </c>
      <c r="BA480">
        <v>1169</v>
      </c>
      <c r="BB480">
        <v>40</v>
      </c>
    </row>
    <row r="481" spans="1:54" x14ac:dyDescent="0.25">
      <c r="A481">
        <v>2419</v>
      </c>
      <c r="B481" t="s">
        <v>1161</v>
      </c>
      <c r="C481">
        <v>49.66</v>
      </c>
      <c r="D481">
        <v>0.54</v>
      </c>
      <c r="E481">
        <v>1.1499999999999999</v>
      </c>
      <c r="F481">
        <v>0.05</v>
      </c>
      <c r="G481">
        <v>8.99</v>
      </c>
      <c r="H481">
        <v>0.19</v>
      </c>
      <c r="I481">
        <v>0.33</v>
      </c>
      <c r="J481">
        <v>0.01</v>
      </c>
      <c r="K481">
        <v>22.76</v>
      </c>
      <c r="L481">
        <v>0.26</v>
      </c>
      <c r="M481">
        <v>0.28999999999999998</v>
      </c>
      <c r="N481">
        <v>0.01</v>
      </c>
      <c r="O481">
        <v>4.82</v>
      </c>
      <c r="P481">
        <v>0.17</v>
      </c>
      <c r="Q481">
        <v>2.59</v>
      </c>
      <c r="R481">
        <v>0.03</v>
      </c>
      <c r="S481">
        <v>2.46</v>
      </c>
      <c r="T481">
        <v>0.14000000000000001</v>
      </c>
      <c r="U481">
        <v>1.1000000000000001</v>
      </c>
      <c r="V481">
        <v>0.04</v>
      </c>
      <c r="W481">
        <v>0.83</v>
      </c>
      <c r="X481">
        <v>0.05</v>
      </c>
      <c r="Y481">
        <v>3.67</v>
      </c>
      <c r="Z481">
        <v>0.05</v>
      </c>
      <c r="AA481">
        <v>1.04</v>
      </c>
      <c r="AB481">
        <v>0.02</v>
      </c>
      <c r="AW481">
        <v>995</v>
      </c>
      <c r="AX481">
        <v>49</v>
      </c>
      <c r="AY481">
        <v>1054</v>
      </c>
      <c r="AZ481">
        <v>35</v>
      </c>
      <c r="BA481">
        <v>230</v>
      </c>
      <c r="BB481">
        <v>10</v>
      </c>
    </row>
    <row r="482" spans="1:54" x14ac:dyDescent="0.25">
      <c r="A482">
        <v>2424</v>
      </c>
      <c r="B482" t="s">
        <v>1162</v>
      </c>
      <c r="C482">
        <v>38.86</v>
      </c>
      <c r="D482">
        <v>0.43</v>
      </c>
      <c r="E482">
        <v>0.9</v>
      </c>
      <c r="F482">
        <v>0.03</v>
      </c>
      <c r="G482">
        <v>7.6</v>
      </c>
      <c r="H482">
        <v>0.19</v>
      </c>
      <c r="I482">
        <v>0.27</v>
      </c>
      <c r="J482">
        <v>0.01</v>
      </c>
      <c r="K482">
        <v>16.920000000000002</v>
      </c>
      <c r="L482">
        <v>0.2</v>
      </c>
      <c r="M482">
        <v>0.2</v>
      </c>
      <c r="N482">
        <v>0.01</v>
      </c>
      <c r="O482">
        <v>6.82</v>
      </c>
      <c r="P482">
        <v>0.17</v>
      </c>
      <c r="Q482">
        <v>9.64</v>
      </c>
      <c r="R482">
        <v>0.1</v>
      </c>
      <c r="S482">
        <v>2.34</v>
      </c>
      <c r="T482">
        <v>0.14000000000000001</v>
      </c>
      <c r="U482">
        <v>0.6</v>
      </c>
      <c r="V482">
        <v>0.02</v>
      </c>
      <c r="W482">
        <v>0.76</v>
      </c>
      <c r="X482">
        <v>0.05</v>
      </c>
      <c r="Y482">
        <v>13.84</v>
      </c>
      <c r="Z482">
        <v>0.17</v>
      </c>
      <c r="AA482">
        <v>1.02</v>
      </c>
      <c r="AB482">
        <v>0.03</v>
      </c>
      <c r="AW482">
        <v>606</v>
      </c>
      <c r="AX482">
        <v>35</v>
      </c>
      <c r="AY482">
        <v>837</v>
      </c>
      <c r="AZ482">
        <v>30</v>
      </c>
      <c r="BA482">
        <v>308</v>
      </c>
      <c r="BB482">
        <v>10</v>
      </c>
    </row>
    <row r="483" spans="1:54" x14ac:dyDescent="0.25">
      <c r="A483">
        <v>2424</v>
      </c>
      <c r="B483" t="s">
        <v>1163</v>
      </c>
      <c r="C483">
        <v>45.02</v>
      </c>
      <c r="D483">
        <v>0.54</v>
      </c>
      <c r="E483">
        <v>1.06</v>
      </c>
      <c r="F483">
        <v>0.03</v>
      </c>
      <c r="G483">
        <v>8.66</v>
      </c>
      <c r="H483">
        <v>0.19</v>
      </c>
      <c r="I483">
        <v>0.38</v>
      </c>
      <c r="J483">
        <v>0.03</v>
      </c>
      <c r="K483">
        <v>21.72</v>
      </c>
      <c r="L483">
        <v>0.26</v>
      </c>
      <c r="M483">
        <v>0.26</v>
      </c>
      <c r="N483">
        <v>0.03</v>
      </c>
      <c r="O483">
        <v>7.23</v>
      </c>
      <c r="P483">
        <v>0.17</v>
      </c>
      <c r="Q483">
        <v>4.8499999999999996</v>
      </c>
      <c r="R483">
        <v>0.06</v>
      </c>
      <c r="S483">
        <v>2.56</v>
      </c>
      <c r="T483">
        <v>0.14000000000000001</v>
      </c>
      <c r="U483">
        <v>0.8</v>
      </c>
      <c r="V483">
        <v>0.02</v>
      </c>
      <c r="W483">
        <v>0.85</v>
      </c>
      <c r="X483">
        <v>0.05</v>
      </c>
      <c r="Y483">
        <v>5.32</v>
      </c>
      <c r="Z483">
        <v>0.1</v>
      </c>
      <c r="AA483">
        <v>1</v>
      </c>
      <c r="AB483">
        <v>0.03</v>
      </c>
      <c r="AW483">
        <v>887</v>
      </c>
      <c r="AX483">
        <v>44</v>
      </c>
      <c r="AY483">
        <v>904</v>
      </c>
      <c r="AZ483">
        <v>30</v>
      </c>
      <c r="BA483">
        <v>566</v>
      </c>
      <c r="BB483">
        <v>20</v>
      </c>
    </row>
    <row r="484" spans="1:54" x14ac:dyDescent="0.25">
      <c r="A484">
        <v>2424</v>
      </c>
      <c r="B484" t="s">
        <v>1164</v>
      </c>
      <c r="C484">
        <v>45.39</v>
      </c>
      <c r="D484">
        <v>0.54</v>
      </c>
      <c r="E484">
        <v>1.07</v>
      </c>
      <c r="F484">
        <v>0.03</v>
      </c>
      <c r="G484">
        <v>8.6</v>
      </c>
      <c r="H484">
        <v>0.19</v>
      </c>
      <c r="I484">
        <v>0.42</v>
      </c>
      <c r="J484">
        <v>0.01</v>
      </c>
      <c r="K484">
        <v>20.36</v>
      </c>
      <c r="L484">
        <v>0.26</v>
      </c>
      <c r="M484">
        <v>0.37</v>
      </c>
      <c r="N484">
        <v>0.01</v>
      </c>
      <c r="O484">
        <v>7.9</v>
      </c>
      <c r="P484">
        <v>0.17</v>
      </c>
      <c r="Q484">
        <v>5.12</v>
      </c>
      <c r="R484">
        <v>0.06</v>
      </c>
      <c r="S484">
        <v>2.42</v>
      </c>
      <c r="T484">
        <v>0.14000000000000001</v>
      </c>
      <c r="U484">
        <v>0.65</v>
      </c>
      <c r="V484">
        <v>0.02</v>
      </c>
      <c r="W484">
        <v>0.92</v>
      </c>
      <c r="X484">
        <v>7.0000000000000007E-2</v>
      </c>
      <c r="Y484">
        <v>5.24</v>
      </c>
      <c r="Z484">
        <v>0.08</v>
      </c>
      <c r="AA484">
        <v>1.17</v>
      </c>
      <c r="AB484">
        <v>0.02</v>
      </c>
      <c r="AW484">
        <v>817</v>
      </c>
      <c r="AX484">
        <v>44</v>
      </c>
      <c r="AY484">
        <v>1621</v>
      </c>
      <c r="AZ484">
        <v>49</v>
      </c>
      <c r="BA484">
        <v>469</v>
      </c>
      <c r="BB484">
        <v>15</v>
      </c>
    </row>
    <row r="485" spans="1:54" x14ac:dyDescent="0.25">
      <c r="A485">
        <v>2427</v>
      </c>
      <c r="B485" t="s">
        <v>1165</v>
      </c>
      <c r="C485">
        <v>46.99</v>
      </c>
      <c r="D485">
        <v>0.54</v>
      </c>
      <c r="E485">
        <v>1.06</v>
      </c>
      <c r="F485">
        <v>0.03</v>
      </c>
      <c r="G485">
        <v>8.6999999999999993</v>
      </c>
      <c r="H485">
        <v>0.19</v>
      </c>
      <c r="I485">
        <v>0.37</v>
      </c>
      <c r="J485">
        <v>0.01</v>
      </c>
      <c r="K485">
        <v>20.5</v>
      </c>
      <c r="L485">
        <v>0.26</v>
      </c>
      <c r="M485">
        <v>0.23</v>
      </c>
      <c r="N485">
        <v>0.01</v>
      </c>
      <c r="O485">
        <v>7.26</v>
      </c>
      <c r="P485">
        <v>0.17</v>
      </c>
      <c r="Q485">
        <v>4.43</v>
      </c>
      <c r="R485">
        <v>0.06</v>
      </c>
      <c r="S485">
        <v>2.46</v>
      </c>
      <c r="T485">
        <v>0.14000000000000001</v>
      </c>
      <c r="U485">
        <v>0.77</v>
      </c>
      <c r="V485">
        <v>0.02</v>
      </c>
      <c r="W485">
        <v>0.74</v>
      </c>
      <c r="X485">
        <v>0.05</v>
      </c>
      <c r="Y485">
        <v>4.75</v>
      </c>
      <c r="Z485">
        <v>0.08</v>
      </c>
      <c r="AA485">
        <v>1.38</v>
      </c>
      <c r="AB485">
        <v>0.03</v>
      </c>
      <c r="AW485">
        <v>811</v>
      </c>
      <c r="AX485">
        <v>44</v>
      </c>
      <c r="AY485">
        <v>1666</v>
      </c>
      <c r="AZ485">
        <v>49</v>
      </c>
      <c r="BA485">
        <v>489</v>
      </c>
      <c r="BB485">
        <v>15</v>
      </c>
    </row>
    <row r="486" spans="1:54" x14ac:dyDescent="0.25">
      <c r="A486">
        <v>2427</v>
      </c>
      <c r="B486" t="s">
        <v>1166</v>
      </c>
      <c r="C486">
        <v>46.05</v>
      </c>
      <c r="D486">
        <v>0.54</v>
      </c>
      <c r="E486">
        <v>1.17</v>
      </c>
      <c r="F486">
        <v>0.05</v>
      </c>
      <c r="G486">
        <v>8.7200000000000006</v>
      </c>
      <c r="H486">
        <v>0.19</v>
      </c>
      <c r="I486">
        <v>0.36</v>
      </c>
      <c r="J486">
        <v>0.01</v>
      </c>
      <c r="K486">
        <v>20.29</v>
      </c>
      <c r="L486">
        <v>0.26</v>
      </c>
      <c r="M486">
        <v>0.47</v>
      </c>
      <c r="N486">
        <v>0.01</v>
      </c>
      <c r="O486">
        <v>7.31</v>
      </c>
      <c r="P486">
        <v>0.17</v>
      </c>
      <c r="Q486">
        <v>4.43</v>
      </c>
      <c r="R486">
        <v>0.06</v>
      </c>
      <c r="S486">
        <v>2.37</v>
      </c>
      <c r="T486">
        <v>0.14000000000000001</v>
      </c>
      <c r="U486">
        <v>0.71</v>
      </c>
      <c r="V486">
        <v>0.02</v>
      </c>
      <c r="W486">
        <v>0.92</v>
      </c>
      <c r="X486">
        <v>7.0000000000000007E-2</v>
      </c>
      <c r="Y486">
        <v>5.4</v>
      </c>
      <c r="Z486">
        <v>0.08</v>
      </c>
      <c r="AA486">
        <v>1.35</v>
      </c>
      <c r="AB486">
        <v>0.02</v>
      </c>
      <c r="AW486">
        <v>785</v>
      </c>
      <c r="AX486">
        <v>40</v>
      </c>
      <c r="AY486">
        <v>2463</v>
      </c>
      <c r="AZ486">
        <v>74</v>
      </c>
      <c r="BA486">
        <v>540</v>
      </c>
      <c r="BB486">
        <v>20</v>
      </c>
    </row>
    <row r="487" spans="1:54" x14ac:dyDescent="0.25">
      <c r="A487">
        <v>2431</v>
      </c>
      <c r="B487" t="s">
        <v>1167</v>
      </c>
      <c r="C487">
        <v>53.1</v>
      </c>
      <c r="D487">
        <v>0.54</v>
      </c>
      <c r="E487">
        <v>1.17</v>
      </c>
      <c r="F487">
        <v>0.05</v>
      </c>
      <c r="G487">
        <v>10.17</v>
      </c>
      <c r="H487">
        <v>0.28999999999999998</v>
      </c>
      <c r="I487">
        <v>0.34</v>
      </c>
      <c r="J487">
        <v>0.01</v>
      </c>
      <c r="K487">
        <v>17.79</v>
      </c>
      <c r="L487">
        <v>0.2</v>
      </c>
      <c r="M487">
        <v>0.34</v>
      </c>
      <c r="N487">
        <v>0.01</v>
      </c>
      <c r="O487">
        <v>5.22</v>
      </c>
      <c r="P487">
        <v>0.17</v>
      </c>
      <c r="Q487">
        <v>2.74</v>
      </c>
      <c r="R487">
        <v>0.04</v>
      </c>
      <c r="S487">
        <v>2.58</v>
      </c>
      <c r="T487">
        <v>0.14000000000000001</v>
      </c>
      <c r="U487">
        <v>1.34</v>
      </c>
      <c r="V487">
        <v>0.05</v>
      </c>
      <c r="W487">
        <v>0.75</v>
      </c>
      <c r="X487">
        <v>0.05</v>
      </c>
      <c r="Y487">
        <v>3.27</v>
      </c>
      <c r="Z487">
        <v>0.08</v>
      </c>
      <c r="AA487">
        <v>0.87</v>
      </c>
      <c r="AB487">
        <v>0.02</v>
      </c>
      <c r="AW487">
        <v>771</v>
      </c>
      <c r="AX487">
        <v>40</v>
      </c>
      <c r="AY487">
        <v>1337</v>
      </c>
      <c r="AZ487">
        <v>44</v>
      </c>
      <c r="BA487">
        <v>320</v>
      </c>
      <c r="BB487">
        <v>10</v>
      </c>
    </row>
    <row r="488" spans="1:54" x14ac:dyDescent="0.25">
      <c r="A488">
        <v>2431</v>
      </c>
      <c r="B488" t="s">
        <v>1168</v>
      </c>
      <c r="C488">
        <v>46.88</v>
      </c>
      <c r="D488">
        <v>0.54</v>
      </c>
      <c r="E488">
        <v>1.1000000000000001</v>
      </c>
      <c r="F488">
        <v>0.03</v>
      </c>
      <c r="G488">
        <v>8.6199999999999992</v>
      </c>
      <c r="H488">
        <v>0.19</v>
      </c>
      <c r="I488">
        <v>0.31</v>
      </c>
      <c r="J488">
        <v>0.01</v>
      </c>
      <c r="K488">
        <v>26.24</v>
      </c>
      <c r="L488">
        <v>0.33</v>
      </c>
      <c r="M488">
        <v>0.21</v>
      </c>
      <c r="N488">
        <v>0.01</v>
      </c>
      <c r="O488">
        <v>4.92</v>
      </c>
      <c r="P488">
        <v>0.17</v>
      </c>
      <c r="Q488">
        <v>2.46</v>
      </c>
      <c r="R488">
        <v>0.03</v>
      </c>
      <c r="S488">
        <v>2.5299999999999998</v>
      </c>
      <c r="T488">
        <v>0.14000000000000001</v>
      </c>
      <c r="U488">
        <v>1.06</v>
      </c>
      <c r="V488">
        <v>0.04</v>
      </c>
      <c r="W488">
        <v>1.08</v>
      </c>
      <c r="X488">
        <v>7.0000000000000007E-2</v>
      </c>
      <c r="Y488">
        <v>3.2</v>
      </c>
      <c r="Z488">
        <v>0.05</v>
      </c>
      <c r="AA488">
        <v>1.05</v>
      </c>
      <c r="AB488">
        <v>0.02</v>
      </c>
      <c r="AW488">
        <v>848</v>
      </c>
      <c r="AX488">
        <v>44</v>
      </c>
      <c r="AY488">
        <v>1384</v>
      </c>
      <c r="AZ488">
        <v>44</v>
      </c>
      <c r="BA488">
        <v>381</v>
      </c>
      <c r="BB488">
        <v>15</v>
      </c>
    </row>
    <row r="489" spans="1:54" x14ac:dyDescent="0.25">
      <c r="A489">
        <v>2437</v>
      </c>
      <c r="B489" t="s">
        <v>1169</v>
      </c>
      <c r="C489">
        <v>46.2</v>
      </c>
      <c r="D489">
        <v>0.54</v>
      </c>
      <c r="E489">
        <v>1.1100000000000001</v>
      </c>
      <c r="F489">
        <v>0.05</v>
      </c>
      <c r="G489">
        <v>9.09</v>
      </c>
      <c r="H489">
        <v>0.19</v>
      </c>
      <c r="I489">
        <v>0.46</v>
      </c>
      <c r="J489">
        <v>0.03</v>
      </c>
      <c r="K489">
        <v>21.66</v>
      </c>
      <c r="L489">
        <v>0.26</v>
      </c>
      <c r="M489">
        <v>0.23</v>
      </c>
      <c r="N489">
        <v>0.03</v>
      </c>
      <c r="O489">
        <v>7.36</v>
      </c>
      <c r="P489">
        <v>0.17</v>
      </c>
      <c r="Q489">
        <v>4.8600000000000003</v>
      </c>
      <c r="R489">
        <v>7.0000000000000007E-2</v>
      </c>
      <c r="S489">
        <v>2.57</v>
      </c>
      <c r="T489">
        <v>0.14000000000000001</v>
      </c>
      <c r="U489">
        <v>0.84</v>
      </c>
      <c r="V489">
        <v>0.04</v>
      </c>
      <c r="W489">
        <v>0.86</v>
      </c>
      <c r="X489">
        <v>0.05</v>
      </c>
      <c r="Y489">
        <v>3.75</v>
      </c>
      <c r="Z489">
        <v>0.1</v>
      </c>
      <c r="AA489">
        <v>0.75</v>
      </c>
      <c r="AB489">
        <v>0.03</v>
      </c>
      <c r="AW489">
        <v>627</v>
      </c>
      <c r="AX489">
        <v>35</v>
      </c>
      <c r="AY489">
        <v>639</v>
      </c>
      <c r="AZ489">
        <v>24</v>
      </c>
      <c r="BA489">
        <v>87</v>
      </c>
      <c r="BB489">
        <v>10</v>
      </c>
    </row>
    <row r="490" spans="1:54" x14ac:dyDescent="0.25">
      <c r="A490">
        <v>2437</v>
      </c>
      <c r="B490" t="s">
        <v>1170</v>
      </c>
      <c r="C490">
        <v>42.8</v>
      </c>
      <c r="D490">
        <v>0.54</v>
      </c>
      <c r="E490">
        <v>1.1499999999999999</v>
      </c>
      <c r="F490">
        <v>0.05</v>
      </c>
      <c r="G490">
        <v>9.14</v>
      </c>
      <c r="H490">
        <v>0.19</v>
      </c>
      <c r="I490">
        <v>0.69</v>
      </c>
      <c r="J490">
        <v>0.03</v>
      </c>
      <c r="K490">
        <v>21.8</v>
      </c>
      <c r="L490">
        <v>0.26</v>
      </c>
      <c r="M490">
        <v>0.4</v>
      </c>
      <c r="N490">
        <v>0.03</v>
      </c>
      <c r="O490">
        <v>8.9700000000000006</v>
      </c>
      <c r="P490">
        <v>0.25</v>
      </c>
      <c r="Q490">
        <v>6.56</v>
      </c>
      <c r="R490">
        <v>7.0000000000000007E-2</v>
      </c>
      <c r="S490">
        <v>2.57</v>
      </c>
      <c r="T490">
        <v>0.14000000000000001</v>
      </c>
      <c r="U490">
        <v>0.54</v>
      </c>
      <c r="V490">
        <v>0.02</v>
      </c>
      <c r="W490">
        <v>0.8</v>
      </c>
      <c r="X490">
        <v>0.05</v>
      </c>
      <c r="Y490">
        <v>3.83</v>
      </c>
      <c r="Z490">
        <v>0.1</v>
      </c>
      <c r="AA490">
        <v>0.61</v>
      </c>
      <c r="AB490">
        <v>0.03</v>
      </c>
      <c r="AW490">
        <v>542</v>
      </c>
      <c r="AX490">
        <v>30</v>
      </c>
      <c r="AY490">
        <v>432</v>
      </c>
      <c r="AZ490">
        <v>20</v>
      </c>
      <c r="BA490">
        <v>44</v>
      </c>
      <c r="BB490">
        <v>10</v>
      </c>
    </row>
    <row r="491" spans="1:54" x14ac:dyDescent="0.25">
      <c r="A491">
        <v>2437</v>
      </c>
      <c r="B491" t="s">
        <v>1171</v>
      </c>
      <c r="C491">
        <v>48.53</v>
      </c>
      <c r="D491">
        <v>0.54</v>
      </c>
      <c r="E491">
        <v>1.1299999999999999</v>
      </c>
      <c r="F491">
        <v>0.05</v>
      </c>
      <c r="G491">
        <v>9.07</v>
      </c>
      <c r="H491">
        <v>0.19</v>
      </c>
      <c r="I491">
        <v>0.36</v>
      </c>
      <c r="J491">
        <v>0.01</v>
      </c>
      <c r="K491">
        <v>22.52</v>
      </c>
      <c r="L491">
        <v>0.26</v>
      </c>
      <c r="M491">
        <v>0.14000000000000001</v>
      </c>
      <c r="N491">
        <v>0.01</v>
      </c>
      <c r="O491">
        <v>5.51</v>
      </c>
      <c r="P491">
        <v>0.17</v>
      </c>
      <c r="Q491">
        <v>3.04</v>
      </c>
      <c r="R491">
        <v>0.04</v>
      </c>
      <c r="S491">
        <v>2.59</v>
      </c>
      <c r="T491">
        <v>0.14000000000000001</v>
      </c>
      <c r="U491">
        <v>1.01</v>
      </c>
      <c r="V491">
        <v>0.04</v>
      </c>
      <c r="W491">
        <v>0.73</v>
      </c>
      <c r="X491">
        <v>0.05</v>
      </c>
      <c r="Y491">
        <v>4.1500000000000004</v>
      </c>
      <c r="Z491">
        <v>0.08</v>
      </c>
      <c r="AA491">
        <v>0.91</v>
      </c>
      <c r="AB491">
        <v>0.02</v>
      </c>
      <c r="AW491">
        <v>854</v>
      </c>
      <c r="AX491">
        <v>44</v>
      </c>
      <c r="AY491">
        <v>1172</v>
      </c>
      <c r="AZ491">
        <v>40</v>
      </c>
      <c r="BA491">
        <v>461</v>
      </c>
      <c r="BB491">
        <v>15</v>
      </c>
    </row>
    <row r="492" spans="1:54" x14ac:dyDescent="0.25">
      <c r="A492">
        <v>2441</v>
      </c>
      <c r="B492" t="s">
        <v>1172</v>
      </c>
      <c r="C492">
        <v>48.83</v>
      </c>
      <c r="D492">
        <v>0.54</v>
      </c>
      <c r="E492">
        <v>1.1399999999999999</v>
      </c>
      <c r="F492">
        <v>0.05</v>
      </c>
      <c r="G492">
        <v>9.39</v>
      </c>
      <c r="H492">
        <v>0.19</v>
      </c>
      <c r="I492">
        <v>0.34</v>
      </c>
      <c r="J492">
        <v>0.01</v>
      </c>
      <c r="K492">
        <v>22.66</v>
      </c>
      <c r="L492">
        <v>0.26</v>
      </c>
      <c r="M492">
        <v>0.1</v>
      </c>
      <c r="N492">
        <v>0.01</v>
      </c>
      <c r="O492">
        <v>5.01</v>
      </c>
      <c r="P492">
        <v>0.17</v>
      </c>
      <c r="Q492">
        <v>2.8</v>
      </c>
      <c r="R492">
        <v>0.04</v>
      </c>
      <c r="S492">
        <v>2.61</v>
      </c>
      <c r="T492">
        <v>0.14000000000000001</v>
      </c>
      <c r="U492">
        <v>1.36</v>
      </c>
      <c r="V492">
        <v>0.05</v>
      </c>
      <c r="W492">
        <v>0.67</v>
      </c>
      <c r="X492">
        <v>0.05</v>
      </c>
      <c r="Y492">
        <v>3.68</v>
      </c>
      <c r="Z492">
        <v>0.05</v>
      </c>
      <c r="AA492">
        <v>1.1200000000000001</v>
      </c>
      <c r="AB492">
        <v>0.02</v>
      </c>
      <c r="AW492">
        <v>882</v>
      </c>
      <c r="AX492">
        <v>44</v>
      </c>
      <c r="AY492">
        <v>1216</v>
      </c>
      <c r="AZ492">
        <v>40</v>
      </c>
      <c r="BA492">
        <v>38</v>
      </c>
      <c r="BB492">
        <v>5</v>
      </c>
    </row>
    <row r="493" spans="1:54" x14ac:dyDescent="0.25">
      <c r="A493">
        <v>2442</v>
      </c>
      <c r="B493" t="s">
        <v>1173</v>
      </c>
      <c r="C493">
        <v>42.99</v>
      </c>
      <c r="D493">
        <v>0.54</v>
      </c>
      <c r="E493">
        <v>1.1299999999999999</v>
      </c>
      <c r="F493">
        <v>0.05</v>
      </c>
      <c r="G493">
        <v>8.5</v>
      </c>
      <c r="H493">
        <v>0.19</v>
      </c>
      <c r="I493">
        <v>0.31</v>
      </c>
      <c r="J493">
        <v>0.01</v>
      </c>
      <c r="K493">
        <v>20.11</v>
      </c>
      <c r="L493">
        <v>0.26</v>
      </c>
      <c r="M493">
        <v>0.38</v>
      </c>
      <c r="N493">
        <v>0.01</v>
      </c>
      <c r="O493">
        <v>7.82</v>
      </c>
      <c r="P493">
        <v>0.17</v>
      </c>
      <c r="Q493">
        <v>5.83</v>
      </c>
      <c r="R493">
        <v>7.0000000000000007E-2</v>
      </c>
      <c r="S493">
        <v>2.3199999999999998</v>
      </c>
      <c r="T493">
        <v>0.14000000000000001</v>
      </c>
      <c r="U493">
        <v>0.54</v>
      </c>
      <c r="V493">
        <v>0.02</v>
      </c>
      <c r="W493">
        <v>1.01</v>
      </c>
      <c r="X493">
        <v>7.0000000000000007E-2</v>
      </c>
      <c r="Y493">
        <v>7.38</v>
      </c>
      <c r="Z493">
        <v>0.1</v>
      </c>
      <c r="AA493">
        <v>1.1599999999999999</v>
      </c>
      <c r="AB493">
        <v>0.02</v>
      </c>
      <c r="AW493">
        <v>706</v>
      </c>
      <c r="AX493">
        <v>40</v>
      </c>
      <c r="AY493">
        <v>3361</v>
      </c>
      <c r="AZ493">
        <v>104</v>
      </c>
      <c r="BA493">
        <v>425</v>
      </c>
      <c r="BB493">
        <v>15</v>
      </c>
    </row>
    <row r="494" spans="1:54" x14ac:dyDescent="0.25">
      <c r="A494">
        <v>2443</v>
      </c>
      <c r="B494" t="s">
        <v>1174</v>
      </c>
      <c r="C494">
        <v>42.73</v>
      </c>
      <c r="D494">
        <v>0.43</v>
      </c>
      <c r="E494">
        <v>1.05</v>
      </c>
      <c r="F494">
        <v>0.03</v>
      </c>
      <c r="G494">
        <v>8.3000000000000007</v>
      </c>
      <c r="H494">
        <v>0.19</v>
      </c>
      <c r="I494">
        <v>0.28000000000000003</v>
      </c>
      <c r="J494">
        <v>0.01</v>
      </c>
      <c r="K494">
        <v>18.55</v>
      </c>
      <c r="L494">
        <v>0.2</v>
      </c>
      <c r="M494">
        <v>0.28000000000000003</v>
      </c>
      <c r="N494">
        <v>0.01</v>
      </c>
      <c r="O494">
        <v>7.14</v>
      </c>
      <c r="P494">
        <v>0.17</v>
      </c>
      <c r="Q494">
        <v>6.51</v>
      </c>
      <c r="R494">
        <v>7.0000000000000007E-2</v>
      </c>
      <c r="S494">
        <v>2.2599999999999998</v>
      </c>
      <c r="T494">
        <v>0.14000000000000001</v>
      </c>
      <c r="U494">
        <v>0.57999999999999996</v>
      </c>
      <c r="V494">
        <v>0.02</v>
      </c>
      <c r="W494">
        <v>0.97</v>
      </c>
      <c r="X494">
        <v>7.0000000000000007E-2</v>
      </c>
      <c r="Y494">
        <v>9.77</v>
      </c>
      <c r="Z494">
        <v>0.12</v>
      </c>
      <c r="AA494">
        <v>1.0900000000000001</v>
      </c>
      <c r="AB494">
        <v>0.03</v>
      </c>
      <c r="AW494">
        <v>684</v>
      </c>
      <c r="AX494">
        <v>35</v>
      </c>
      <c r="AY494">
        <v>3122</v>
      </c>
      <c r="AZ494">
        <v>94</v>
      </c>
      <c r="BA494">
        <v>406</v>
      </c>
      <c r="BB494">
        <v>15</v>
      </c>
    </row>
    <row r="495" spans="1:54" x14ac:dyDescent="0.25">
      <c r="A495">
        <v>2446</v>
      </c>
      <c r="B495" t="s">
        <v>1175</v>
      </c>
      <c r="C495">
        <v>43.65</v>
      </c>
      <c r="D495">
        <v>0.54</v>
      </c>
      <c r="E495">
        <v>1.1000000000000001</v>
      </c>
      <c r="F495">
        <v>0.03</v>
      </c>
      <c r="G495">
        <v>8.57</v>
      </c>
      <c r="H495">
        <v>0.19</v>
      </c>
      <c r="I495">
        <v>0.32</v>
      </c>
      <c r="J495">
        <v>0.01</v>
      </c>
      <c r="K495">
        <v>19.170000000000002</v>
      </c>
      <c r="L495">
        <v>0.2</v>
      </c>
      <c r="M495">
        <v>0.27</v>
      </c>
      <c r="N495">
        <v>0.01</v>
      </c>
      <c r="O495">
        <v>6.98</v>
      </c>
      <c r="P495">
        <v>0.17</v>
      </c>
      <c r="Q495">
        <v>5.96</v>
      </c>
      <c r="R495">
        <v>7.0000000000000007E-2</v>
      </c>
      <c r="S495">
        <v>2.34</v>
      </c>
      <c r="T495">
        <v>0.14000000000000001</v>
      </c>
      <c r="U495">
        <v>0.71</v>
      </c>
      <c r="V495">
        <v>0.02</v>
      </c>
      <c r="W495">
        <v>0.75</v>
      </c>
      <c r="X495">
        <v>0.05</v>
      </c>
      <c r="Y495">
        <v>8.19</v>
      </c>
      <c r="Z495">
        <v>0.1</v>
      </c>
      <c r="AA495">
        <v>1.41</v>
      </c>
      <c r="AB495">
        <v>0.03</v>
      </c>
      <c r="AW495">
        <v>711</v>
      </c>
      <c r="AX495">
        <v>40</v>
      </c>
      <c r="AY495">
        <v>3720</v>
      </c>
      <c r="AZ495">
        <v>115</v>
      </c>
      <c r="BA495">
        <v>491</v>
      </c>
      <c r="BB495">
        <v>15</v>
      </c>
    </row>
    <row r="496" spans="1:54" x14ac:dyDescent="0.25">
      <c r="A496">
        <v>2450</v>
      </c>
      <c r="B496" t="s">
        <v>1176</v>
      </c>
      <c r="C496">
        <v>38.44</v>
      </c>
      <c r="D496">
        <v>0.43</v>
      </c>
      <c r="E496">
        <v>1.1100000000000001</v>
      </c>
      <c r="F496">
        <v>0.05</v>
      </c>
      <c r="G496">
        <v>7.97</v>
      </c>
      <c r="H496">
        <v>0.19</v>
      </c>
      <c r="I496">
        <v>0.34</v>
      </c>
      <c r="J496">
        <v>0.01</v>
      </c>
      <c r="K496">
        <v>19.96</v>
      </c>
      <c r="L496">
        <v>0.26</v>
      </c>
      <c r="M496">
        <v>0.7</v>
      </c>
      <c r="N496">
        <v>0.03</v>
      </c>
      <c r="O496">
        <v>6.22</v>
      </c>
      <c r="P496">
        <v>0.17</v>
      </c>
      <c r="Q496">
        <v>7.81</v>
      </c>
      <c r="R496">
        <v>0.08</v>
      </c>
      <c r="S496">
        <v>2.2999999999999998</v>
      </c>
      <c r="T496">
        <v>0.14000000000000001</v>
      </c>
      <c r="U496">
        <v>0.64</v>
      </c>
      <c r="V496">
        <v>0.02</v>
      </c>
      <c r="W496">
        <v>1.31</v>
      </c>
      <c r="X496">
        <v>7.0000000000000007E-2</v>
      </c>
      <c r="Y496">
        <v>11.27</v>
      </c>
      <c r="Z496">
        <v>0.12</v>
      </c>
      <c r="AA496">
        <v>1.43</v>
      </c>
      <c r="AB496">
        <v>0.03</v>
      </c>
      <c r="AW496">
        <v>654</v>
      </c>
      <c r="AX496">
        <v>35</v>
      </c>
      <c r="AY496">
        <v>2861</v>
      </c>
      <c r="AZ496">
        <v>89</v>
      </c>
      <c r="BA496">
        <v>601</v>
      </c>
      <c r="BB496">
        <v>20</v>
      </c>
    </row>
    <row r="497" spans="1:54" x14ac:dyDescent="0.25">
      <c r="A497">
        <v>2452</v>
      </c>
      <c r="B497" t="s">
        <v>1177</v>
      </c>
      <c r="C497">
        <v>47.38</v>
      </c>
      <c r="D497">
        <v>0.54</v>
      </c>
      <c r="E497">
        <v>1.18</v>
      </c>
      <c r="F497">
        <v>0.05</v>
      </c>
      <c r="G497">
        <v>9.14</v>
      </c>
      <c r="H497">
        <v>0.19</v>
      </c>
      <c r="I497">
        <v>0.36</v>
      </c>
      <c r="J497">
        <v>0.01</v>
      </c>
      <c r="K497">
        <v>19.87</v>
      </c>
      <c r="L497">
        <v>0.26</v>
      </c>
      <c r="M497">
        <v>0.28999999999999998</v>
      </c>
      <c r="N497">
        <v>0.01</v>
      </c>
      <c r="O497">
        <v>6.12</v>
      </c>
      <c r="P497">
        <v>0.17</v>
      </c>
      <c r="Q497">
        <v>4.57</v>
      </c>
      <c r="R497">
        <v>0.06</v>
      </c>
      <c r="S497">
        <v>2.3199999999999998</v>
      </c>
      <c r="T497">
        <v>0.14000000000000001</v>
      </c>
      <c r="U497">
        <v>0.86</v>
      </c>
      <c r="V497">
        <v>0.04</v>
      </c>
      <c r="W497">
        <v>1</v>
      </c>
      <c r="X497">
        <v>7.0000000000000007E-2</v>
      </c>
      <c r="Y497">
        <v>5.25</v>
      </c>
      <c r="Z497">
        <v>0.08</v>
      </c>
      <c r="AA497">
        <v>1.18</v>
      </c>
      <c r="AB497">
        <v>0.03</v>
      </c>
      <c r="AW497">
        <v>860</v>
      </c>
      <c r="AX497">
        <v>44</v>
      </c>
      <c r="AY497">
        <v>2743</v>
      </c>
      <c r="AZ497">
        <v>85</v>
      </c>
      <c r="BA497">
        <v>272</v>
      </c>
      <c r="BB497">
        <v>10</v>
      </c>
    </row>
    <row r="498" spans="1:54" x14ac:dyDescent="0.25">
      <c r="A498">
        <v>2458</v>
      </c>
      <c r="B498" t="s">
        <v>1178</v>
      </c>
      <c r="C498">
        <v>45.54</v>
      </c>
      <c r="D498">
        <v>0.54</v>
      </c>
      <c r="E498">
        <v>1.04</v>
      </c>
      <c r="F498">
        <v>0.05</v>
      </c>
      <c r="G498">
        <v>8.76</v>
      </c>
      <c r="H498">
        <v>0.19</v>
      </c>
      <c r="I498">
        <v>0.33</v>
      </c>
      <c r="J498">
        <v>0.03</v>
      </c>
      <c r="K498">
        <v>19.5</v>
      </c>
      <c r="L498">
        <v>0.26</v>
      </c>
      <c r="M498">
        <v>0.2</v>
      </c>
      <c r="N498">
        <v>0.01</v>
      </c>
      <c r="O498">
        <v>7.55</v>
      </c>
      <c r="P498">
        <v>0.17</v>
      </c>
      <c r="Q498">
        <v>4.62</v>
      </c>
      <c r="R498">
        <v>0.06</v>
      </c>
      <c r="S498">
        <v>2.48</v>
      </c>
      <c r="T498">
        <v>0.14000000000000001</v>
      </c>
      <c r="U498">
        <v>0.81</v>
      </c>
      <c r="V498">
        <v>0.04</v>
      </c>
      <c r="W498">
        <v>0.74</v>
      </c>
      <c r="X498">
        <v>0.05</v>
      </c>
      <c r="Y498">
        <v>6.28</v>
      </c>
      <c r="Z498">
        <v>0.12</v>
      </c>
      <c r="AA498">
        <v>1.5</v>
      </c>
      <c r="AB498">
        <v>0.04</v>
      </c>
      <c r="AW498">
        <v>922</v>
      </c>
      <c r="AX498">
        <v>49</v>
      </c>
      <c r="AY498">
        <v>2506</v>
      </c>
      <c r="AZ498">
        <v>80</v>
      </c>
      <c r="BA498">
        <v>544</v>
      </c>
      <c r="BB498">
        <v>20</v>
      </c>
    </row>
    <row r="499" spans="1:54" x14ac:dyDescent="0.25">
      <c r="A499">
        <v>2458</v>
      </c>
      <c r="B499" t="s">
        <v>1179</v>
      </c>
      <c r="C499">
        <v>46.53</v>
      </c>
      <c r="D499">
        <v>0.54</v>
      </c>
      <c r="E499">
        <v>1.18</v>
      </c>
      <c r="F499">
        <v>0.05</v>
      </c>
      <c r="G499">
        <v>8.41</v>
      </c>
      <c r="H499">
        <v>0.19</v>
      </c>
      <c r="I499">
        <v>0.35</v>
      </c>
      <c r="J499">
        <v>0.01</v>
      </c>
      <c r="K499">
        <v>19.97</v>
      </c>
      <c r="L499">
        <v>0.26</v>
      </c>
      <c r="M499">
        <v>0.22</v>
      </c>
      <c r="N499">
        <v>0.01</v>
      </c>
      <c r="O499">
        <v>6.62</v>
      </c>
      <c r="P499">
        <v>0.17</v>
      </c>
      <c r="Q499">
        <v>4.57</v>
      </c>
      <c r="R499">
        <v>0.06</v>
      </c>
      <c r="S499">
        <v>2.2599999999999998</v>
      </c>
      <c r="T499">
        <v>0.14000000000000001</v>
      </c>
      <c r="U499">
        <v>0.94</v>
      </c>
      <c r="V499">
        <v>0.04</v>
      </c>
      <c r="W499">
        <v>0.81</v>
      </c>
      <c r="X499">
        <v>0.05</v>
      </c>
      <c r="Y499">
        <v>6.26</v>
      </c>
      <c r="Z499">
        <v>0.08</v>
      </c>
      <c r="AA499">
        <v>1.34</v>
      </c>
      <c r="AB499">
        <v>0.02</v>
      </c>
      <c r="AW499">
        <v>837</v>
      </c>
      <c r="AX499">
        <v>44</v>
      </c>
      <c r="AY499">
        <v>2689</v>
      </c>
      <c r="AZ499">
        <v>85</v>
      </c>
      <c r="BA499">
        <v>1055</v>
      </c>
      <c r="BB499">
        <v>35</v>
      </c>
    </row>
    <row r="500" spans="1:54" x14ac:dyDescent="0.25">
      <c r="A500">
        <v>2461</v>
      </c>
      <c r="B500" t="s">
        <v>1180</v>
      </c>
      <c r="C500">
        <v>46.57</v>
      </c>
      <c r="D500">
        <v>0.54</v>
      </c>
      <c r="E500">
        <v>1.1299999999999999</v>
      </c>
      <c r="F500">
        <v>0.05</v>
      </c>
      <c r="G500">
        <v>9.09</v>
      </c>
      <c r="H500">
        <v>0.19</v>
      </c>
      <c r="I500">
        <v>0.37</v>
      </c>
      <c r="J500">
        <v>0.03</v>
      </c>
      <c r="K500">
        <v>19.72</v>
      </c>
      <c r="L500">
        <v>0.26</v>
      </c>
      <c r="M500">
        <v>0.25</v>
      </c>
      <c r="N500">
        <v>0.03</v>
      </c>
      <c r="O500">
        <v>7.77</v>
      </c>
      <c r="P500">
        <v>0.17</v>
      </c>
      <c r="Q500">
        <v>4.2</v>
      </c>
      <c r="R500">
        <v>0.06</v>
      </c>
      <c r="S500">
        <v>2.46</v>
      </c>
      <c r="T500">
        <v>0.14000000000000001</v>
      </c>
      <c r="U500">
        <v>0.76</v>
      </c>
      <c r="V500">
        <v>0.02</v>
      </c>
      <c r="W500">
        <v>0.95</v>
      </c>
      <c r="X500">
        <v>7.0000000000000007E-2</v>
      </c>
      <c r="Y500">
        <v>4.83</v>
      </c>
      <c r="Z500">
        <v>0.1</v>
      </c>
      <c r="AA500">
        <v>1.38</v>
      </c>
      <c r="AB500">
        <v>0.04</v>
      </c>
      <c r="AW500">
        <v>760</v>
      </c>
      <c r="AX500">
        <v>40</v>
      </c>
      <c r="AY500">
        <v>2861</v>
      </c>
      <c r="AZ500">
        <v>89</v>
      </c>
      <c r="BA500">
        <v>778</v>
      </c>
      <c r="BB500">
        <v>24</v>
      </c>
    </row>
    <row r="501" spans="1:54" x14ac:dyDescent="0.25">
      <c r="A501">
        <v>2461</v>
      </c>
      <c r="B501" t="s">
        <v>1181</v>
      </c>
      <c r="C501">
        <v>45.43</v>
      </c>
      <c r="D501">
        <v>0.54</v>
      </c>
      <c r="E501">
        <v>1.02</v>
      </c>
      <c r="F501">
        <v>0.03</v>
      </c>
      <c r="G501">
        <v>8.8000000000000007</v>
      </c>
      <c r="H501">
        <v>0.19</v>
      </c>
      <c r="I501">
        <v>0.31</v>
      </c>
      <c r="J501">
        <v>0.01</v>
      </c>
      <c r="K501">
        <v>19.87</v>
      </c>
      <c r="L501">
        <v>0.26</v>
      </c>
      <c r="M501">
        <v>0.3</v>
      </c>
      <c r="N501">
        <v>0.01</v>
      </c>
      <c r="O501">
        <v>6.97</v>
      </c>
      <c r="P501">
        <v>0.17</v>
      </c>
      <c r="Q501">
        <v>4.7</v>
      </c>
      <c r="R501">
        <v>0.06</v>
      </c>
      <c r="S501">
        <v>2.35</v>
      </c>
      <c r="T501">
        <v>0.14000000000000001</v>
      </c>
      <c r="U501">
        <v>0.78</v>
      </c>
      <c r="V501">
        <v>0.02</v>
      </c>
      <c r="W501">
        <v>0.97</v>
      </c>
      <c r="X501">
        <v>7.0000000000000007E-2</v>
      </c>
      <c r="Y501">
        <v>6.55</v>
      </c>
      <c r="Z501">
        <v>0.1</v>
      </c>
      <c r="AA501">
        <v>1.43</v>
      </c>
      <c r="AB501">
        <v>0.03</v>
      </c>
      <c r="AW501">
        <v>815</v>
      </c>
      <c r="AX501">
        <v>44</v>
      </c>
      <c r="AY501">
        <v>2723</v>
      </c>
      <c r="AZ501">
        <v>85</v>
      </c>
      <c r="BA501">
        <v>417</v>
      </c>
      <c r="BB501">
        <v>15</v>
      </c>
    </row>
    <row r="502" spans="1:54" x14ac:dyDescent="0.25">
      <c r="A502">
        <v>2465</v>
      </c>
      <c r="B502" t="s">
        <v>1182</v>
      </c>
      <c r="C502">
        <v>46.54</v>
      </c>
      <c r="D502">
        <v>0.54</v>
      </c>
      <c r="E502">
        <v>1.1399999999999999</v>
      </c>
      <c r="F502">
        <v>0.05</v>
      </c>
      <c r="G502">
        <v>9.09</v>
      </c>
      <c r="H502">
        <v>0.19</v>
      </c>
      <c r="I502">
        <v>0.35</v>
      </c>
      <c r="J502">
        <v>0.03</v>
      </c>
      <c r="K502">
        <v>20.49</v>
      </c>
      <c r="L502">
        <v>0.26</v>
      </c>
      <c r="M502">
        <v>0.42</v>
      </c>
      <c r="N502">
        <v>0.03</v>
      </c>
      <c r="O502">
        <v>6.83</v>
      </c>
      <c r="P502">
        <v>0.17</v>
      </c>
      <c r="Q502">
        <v>3.38</v>
      </c>
      <c r="R502">
        <v>0.06</v>
      </c>
      <c r="S502">
        <v>2.59</v>
      </c>
      <c r="T502">
        <v>0.14000000000000001</v>
      </c>
      <c r="U502">
        <v>1.1200000000000001</v>
      </c>
      <c r="V502">
        <v>0.04</v>
      </c>
      <c r="W502">
        <v>1.35</v>
      </c>
      <c r="X502">
        <v>7.0000000000000007E-2</v>
      </c>
      <c r="Y502">
        <v>4.3</v>
      </c>
      <c r="Z502">
        <v>0.1</v>
      </c>
      <c r="AA502">
        <v>1.92</v>
      </c>
      <c r="AB502">
        <v>0.04</v>
      </c>
      <c r="AW502">
        <v>964</v>
      </c>
      <c r="AX502">
        <v>49</v>
      </c>
      <c r="AY502">
        <v>1952</v>
      </c>
      <c r="AZ502">
        <v>60</v>
      </c>
      <c r="BA502">
        <v>754</v>
      </c>
      <c r="BB502">
        <v>24</v>
      </c>
    </row>
    <row r="503" spans="1:54" x14ac:dyDescent="0.25">
      <c r="A503">
        <v>2465</v>
      </c>
      <c r="B503" t="s">
        <v>1183</v>
      </c>
      <c r="C503">
        <v>46.39</v>
      </c>
      <c r="D503">
        <v>0.54</v>
      </c>
      <c r="E503">
        <v>1.1200000000000001</v>
      </c>
      <c r="F503">
        <v>0.05</v>
      </c>
      <c r="G503">
        <v>8.7799999999999994</v>
      </c>
      <c r="H503">
        <v>0.19</v>
      </c>
      <c r="I503">
        <v>0.34</v>
      </c>
      <c r="J503">
        <v>0.01</v>
      </c>
      <c r="K503">
        <v>19.61</v>
      </c>
      <c r="L503">
        <v>0.26</v>
      </c>
      <c r="M503">
        <v>0.22</v>
      </c>
      <c r="N503">
        <v>0.01</v>
      </c>
      <c r="O503">
        <v>7.56</v>
      </c>
      <c r="P503">
        <v>0.17</v>
      </c>
      <c r="Q503">
        <v>4.3600000000000003</v>
      </c>
      <c r="R503">
        <v>0.06</v>
      </c>
      <c r="S503">
        <v>2.48</v>
      </c>
      <c r="T503">
        <v>0.14000000000000001</v>
      </c>
      <c r="U503">
        <v>0.82</v>
      </c>
      <c r="V503">
        <v>0.04</v>
      </c>
      <c r="W503">
        <v>0.84</v>
      </c>
      <c r="X503">
        <v>0.05</v>
      </c>
      <c r="Y503">
        <v>5.44</v>
      </c>
      <c r="Z503">
        <v>0.08</v>
      </c>
      <c r="AA503">
        <v>1.6</v>
      </c>
      <c r="AB503">
        <v>0.02</v>
      </c>
      <c r="AW503">
        <v>847</v>
      </c>
      <c r="AX503">
        <v>44</v>
      </c>
      <c r="AY503">
        <v>2034</v>
      </c>
      <c r="AZ503">
        <v>65</v>
      </c>
      <c r="BA503">
        <v>793</v>
      </c>
      <c r="BB503">
        <v>24</v>
      </c>
    </row>
    <row r="504" spans="1:54" x14ac:dyDescent="0.25">
      <c r="A504">
        <v>2470</v>
      </c>
      <c r="B504" t="s">
        <v>1184</v>
      </c>
      <c r="C504">
        <v>47.39</v>
      </c>
      <c r="D504">
        <v>0.54</v>
      </c>
      <c r="E504">
        <v>1.17</v>
      </c>
      <c r="F504">
        <v>0.05</v>
      </c>
      <c r="G504">
        <v>8.64</v>
      </c>
      <c r="H504">
        <v>0.19</v>
      </c>
      <c r="I504">
        <v>0.36</v>
      </c>
      <c r="J504">
        <v>0.01</v>
      </c>
      <c r="K504">
        <v>18.8</v>
      </c>
      <c r="L504">
        <v>0.2</v>
      </c>
      <c r="M504">
        <v>0.17</v>
      </c>
      <c r="N504">
        <v>0.01</v>
      </c>
      <c r="O504">
        <v>6.16</v>
      </c>
      <c r="P504">
        <v>0.17</v>
      </c>
      <c r="Q504">
        <v>4.6100000000000003</v>
      </c>
      <c r="R504">
        <v>0.06</v>
      </c>
      <c r="S504">
        <v>2.35</v>
      </c>
      <c r="T504">
        <v>0.14000000000000001</v>
      </c>
      <c r="U504">
        <v>1.04</v>
      </c>
      <c r="V504">
        <v>0.04</v>
      </c>
      <c r="W504">
        <v>1.05</v>
      </c>
      <c r="X504">
        <v>7.0000000000000007E-2</v>
      </c>
      <c r="Y504">
        <v>6.56</v>
      </c>
      <c r="Z504">
        <v>0.1</v>
      </c>
      <c r="AA504">
        <v>1.31</v>
      </c>
      <c r="AB504">
        <v>0.03</v>
      </c>
      <c r="AW504">
        <v>907</v>
      </c>
      <c r="AX504">
        <v>49</v>
      </c>
      <c r="AY504">
        <v>1348</v>
      </c>
      <c r="AZ504">
        <v>44</v>
      </c>
      <c r="BA504">
        <v>830</v>
      </c>
      <c r="BB504">
        <v>24</v>
      </c>
    </row>
    <row r="505" spans="1:54" x14ac:dyDescent="0.25">
      <c r="A505">
        <v>2472</v>
      </c>
      <c r="B505" t="s">
        <v>1185</v>
      </c>
      <c r="C505">
        <v>48.72</v>
      </c>
      <c r="D505">
        <v>0.54</v>
      </c>
      <c r="E505">
        <v>1.18</v>
      </c>
      <c r="F505">
        <v>0.05</v>
      </c>
      <c r="G505">
        <v>9.14</v>
      </c>
      <c r="H505">
        <v>0.19</v>
      </c>
      <c r="I505">
        <v>0.37</v>
      </c>
      <c r="J505">
        <v>0.01</v>
      </c>
      <c r="K505">
        <v>18.75</v>
      </c>
      <c r="L505">
        <v>0.2</v>
      </c>
      <c r="M505">
        <v>0.15</v>
      </c>
      <c r="N505">
        <v>0.01</v>
      </c>
      <c r="O505">
        <v>5.86</v>
      </c>
      <c r="P505">
        <v>0.17</v>
      </c>
      <c r="Q505">
        <v>3.92</v>
      </c>
      <c r="R505">
        <v>0.04</v>
      </c>
      <c r="S505">
        <v>2.5099999999999998</v>
      </c>
      <c r="T505">
        <v>0.14000000000000001</v>
      </c>
      <c r="U505">
        <v>1.1000000000000001</v>
      </c>
      <c r="V505">
        <v>0.04</v>
      </c>
      <c r="W505">
        <v>0.93</v>
      </c>
      <c r="X505">
        <v>7.0000000000000007E-2</v>
      </c>
      <c r="Y505">
        <v>5.13</v>
      </c>
      <c r="Z505">
        <v>0.08</v>
      </c>
      <c r="AA505">
        <v>1.82</v>
      </c>
      <c r="AB505">
        <v>0.03</v>
      </c>
      <c r="AW505">
        <v>939</v>
      </c>
      <c r="AX505">
        <v>49</v>
      </c>
      <c r="AY505">
        <v>1222</v>
      </c>
      <c r="AZ505">
        <v>40</v>
      </c>
      <c r="BA505">
        <v>966</v>
      </c>
      <c r="BB505">
        <v>30</v>
      </c>
    </row>
    <row r="506" spans="1:54" x14ac:dyDescent="0.25">
      <c r="A506">
        <v>2474</v>
      </c>
      <c r="B506" t="s">
        <v>1186</v>
      </c>
      <c r="C506">
        <v>46.93</v>
      </c>
      <c r="D506">
        <v>0.54</v>
      </c>
      <c r="E506">
        <v>1.1399999999999999</v>
      </c>
      <c r="F506">
        <v>0.05</v>
      </c>
      <c r="G506">
        <v>8.82</v>
      </c>
      <c r="H506">
        <v>0.19</v>
      </c>
      <c r="I506">
        <v>0.33</v>
      </c>
      <c r="J506">
        <v>0.03</v>
      </c>
      <c r="K506">
        <v>22.48</v>
      </c>
      <c r="L506">
        <v>0.26</v>
      </c>
      <c r="M506">
        <v>0.09</v>
      </c>
      <c r="N506">
        <v>0.01</v>
      </c>
      <c r="O506">
        <v>5.81</v>
      </c>
      <c r="P506">
        <v>0.17</v>
      </c>
      <c r="Q506">
        <v>3.34</v>
      </c>
      <c r="R506">
        <v>0.06</v>
      </c>
      <c r="S506">
        <v>2.54</v>
      </c>
      <c r="T506">
        <v>0.14000000000000001</v>
      </c>
      <c r="U506">
        <v>1.17</v>
      </c>
      <c r="V506">
        <v>0.04</v>
      </c>
      <c r="W506">
        <v>0.81</v>
      </c>
      <c r="X506">
        <v>0.05</v>
      </c>
      <c r="Y506">
        <v>4.59</v>
      </c>
      <c r="Z506">
        <v>0.1</v>
      </c>
      <c r="AA506">
        <v>1.53</v>
      </c>
      <c r="AB506">
        <v>0.04</v>
      </c>
      <c r="AW506">
        <v>882</v>
      </c>
      <c r="AX506">
        <v>44</v>
      </c>
      <c r="AY506">
        <v>1085</v>
      </c>
      <c r="AZ506">
        <v>35</v>
      </c>
      <c r="BA506">
        <v>1023</v>
      </c>
      <c r="BB506">
        <v>35</v>
      </c>
    </row>
    <row r="507" spans="1:54" x14ac:dyDescent="0.25">
      <c r="A507">
        <v>2474</v>
      </c>
      <c r="B507" t="s">
        <v>1187</v>
      </c>
      <c r="C507">
        <v>44.14</v>
      </c>
      <c r="D507">
        <v>0.54</v>
      </c>
      <c r="E507">
        <v>1.08</v>
      </c>
      <c r="F507">
        <v>0.03</v>
      </c>
      <c r="G507">
        <v>8.5500000000000007</v>
      </c>
      <c r="H507">
        <v>0.19</v>
      </c>
      <c r="I507">
        <v>0.33</v>
      </c>
      <c r="J507">
        <v>0.01</v>
      </c>
      <c r="K507">
        <v>19.91</v>
      </c>
      <c r="L507">
        <v>0.26</v>
      </c>
      <c r="M507">
        <v>0.11</v>
      </c>
      <c r="N507">
        <v>0.01</v>
      </c>
      <c r="O507">
        <v>5.13</v>
      </c>
      <c r="P507">
        <v>0.17</v>
      </c>
      <c r="Q507">
        <v>5.83</v>
      </c>
      <c r="R507">
        <v>7.0000000000000007E-2</v>
      </c>
      <c r="S507">
        <v>2.5299999999999998</v>
      </c>
      <c r="T507">
        <v>0.14000000000000001</v>
      </c>
      <c r="U507">
        <v>1.0900000000000001</v>
      </c>
      <c r="V507">
        <v>0.04</v>
      </c>
      <c r="W507">
        <v>0.88</v>
      </c>
      <c r="X507">
        <v>0.05</v>
      </c>
      <c r="Y507">
        <v>8.67</v>
      </c>
      <c r="Z507">
        <v>0.1</v>
      </c>
      <c r="AA507">
        <v>1.47</v>
      </c>
      <c r="AB507">
        <v>0.03</v>
      </c>
      <c r="AW507">
        <v>851</v>
      </c>
      <c r="AX507">
        <v>44</v>
      </c>
      <c r="AY507">
        <v>886</v>
      </c>
      <c r="AZ507">
        <v>30</v>
      </c>
      <c r="BA507">
        <v>143</v>
      </c>
      <c r="BB507">
        <v>5</v>
      </c>
    </row>
    <row r="508" spans="1:54" x14ac:dyDescent="0.25">
      <c r="A508">
        <v>2478</v>
      </c>
      <c r="B508" t="s">
        <v>1188</v>
      </c>
      <c r="C508">
        <v>45.36</v>
      </c>
      <c r="D508">
        <v>0.54</v>
      </c>
      <c r="E508">
        <v>1.1200000000000001</v>
      </c>
      <c r="F508">
        <v>0.05</v>
      </c>
      <c r="G508">
        <v>8.56</v>
      </c>
      <c r="H508">
        <v>0.19</v>
      </c>
      <c r="I508">
        <v>0.34</v>
      </c>
      <c r="J508">
        <v>0.01</v>
      </c>
      <c r="K508">
        <v>21.91</v>
      </c>
      <c r="L508">
        <v>0.26</v>
      </c>
      <c r="M508">
        <v>0.17</v>
      </c>
      <c r="N508">
        <v>0.01</v>
      </c>
      <c r="O508">
        <v>6.85</v>
      </c>
      <c r="P508">
        <v>0.17</v>
      </c>
      <c r="Q508">
        <v>3.99</v>
      </c>
      <c r="R508">
        <v>0.04</v>
      </c>
      <c r="S508">
        <v>2.44</v>
      </c>
      <c r="T508">
        <v>0.14000000000000001</v>
      </c>
      <c r="U508">
        <v>1.06</v>
      </c>
      <c r="V508">
        <v>0.04</v>
      </c>
      <c r="W508">
        <v>0.81</v>
      </c>
      <c r="X508">
        <v>0.05</v>
      </c>
      <c r="Y508">
        <v>5.55</v>
      </c>
      <c r="Z508">
        <v>0.08</v>
      </c>
      <c r="AA508">
        <v>1.43</v>
      </c>
      <c r="AB508">
        <v>0.02</v>
      </c>
      <c r="AW508">
        <v>974</v>
      </c>
      <c r="AX508">
        <v>49</v>
      </c>
      <c r="AY508">
        <v>1381</v>
      </c>
      <c r="AZ508">
        <v>44</v>
      </c>
      <c r="BA508">
        <v>679</v>
      </c>
      <c r="BB508">
        <v>24</v>
      </c>
    </row>
    <row r="509" spans="1:54" x14ac:dyDescent="0.25">
      <c r="A509">
        <v>2482</v>
      </c>
      <c r="B509" t="s">
        <v>1189</v>
      </c>
      <c r="C509">
        <v>49.19</v>
      </c>
      <c r="D509">
        <v>0.54</v>
      </c>
      <c r="E509">
        <v>1.1599999999999999</v>
      </c>
      <c r="F509">
        <v>0.05</v>
      </c>
      <c r="G509">
        <v>9.07</v>
      </c>
      <c r="H509">
        <v>0.19</v>
      </c>
      <c r="I509">
        <v>0.35</v>
      </c>
      <c r="J509">
        <v>0.01</v>
      </c>
      <c r="K509">
        <v>20.37</v>
      </c>
      <c r="L509">
        <v>0.26</v>
      </c>
      <c r="M509">
        <v>0.17</v>
      </c>
      <c r="N509">
        <v>0.01</v>
      </c>
      <c r="O509">
        <v>5.69</v>
      </c>
      <c r="P509">
        <v>0.17</v>
      </c>
      <c r="Q509">
        <v>3.49</v>
      </c>
      <c r="R509">
        <v>0.04</v>
      </c>
      <c r="S509">
        <v>2.31</v>
      </c>
      <c r="T509">
        <v>0.14000000000000001</v>
      </c>
      <c r="U509">
        <v>1.29</v>
      </c>
      <c r="V509">
        <v>0.05</v>
      </c>
      <c r="W509">
        <v>0.79</v>
      </c>
      <c r="X509">
        <v>0.05</v>
      </c>
      <c r="Y509">
        <v>4.25</v>
      </c>
      <c r="Z509">
        <v>0.08</v>
      </c>
      <c r="AA509">
        <v>1.45</v>
      </c>
      <c r="AB509">
        <v>0.02</v>
      </c>
      <c r="AW509">
        <v>961</v>
      </c>
      <c r="AX509">
        <v>49</v>
      </c>
      <c r="AY509">
        <v>1818</v>
      </c>
      <c r="AZ509">
        <v>54</v>
      </c>
      <c r="BA509">
        <v>684</v>
      </c>
      <c r="BB509">
        <v>24</v>
      </c>
    </row>
    <row r="510" spans="1:54" x14ac:dyDescent="0.25">
      <c r="A510">
        <v>2483</v>
      </c>
      <c r="B510" t="s">
        <v>1190</v>
      </c>
      <c r="C510">
        <v>45.51</v>
      </c>
      <c r="D510">
        <v>0.54</v>
      </c>
      <c r="E510">
        <v>1.1000000000000001</v>
      </c>
      <c r="F510">
        <v>0.03</v>
      </c>
      <c r="G510">
        <v>8.3000000000000007</v>
      </c>
      <c r="H510">
        <v>0.19</v>
      </c>
      <c r="I510">
        <v>0.34</v>
      </c>
      <c r="J510">
        <v>0.01</v>
      </c>
      <c r="K510">
        <v>19.93</v>
      </c>
      <c r="L510">
        <v>0.26</v>
      </c>
      <c r="M510">
        <v>0.18</v>
      </c>
      <c r="N510">
        <v>0.01</v>
      </c>
      <c r="O510">
        <v>6.32</v>
      </c>
      <c r="P510">
        <v>0.17</v>
      </c>
      <c r="Q510">
        <v>5.09</v>
      </c>
      <c r="R510">
        <v>0.06</v>
      </c>
      <c r="S510">
        <v>2.2799999999999998</v>
      </c>
      <c r="T510">
        <v>0.14000000000000001</v>
      </c>
      <c r="U510">
        <v>1.07</v>
      </c>
      <c r="V510">
        <v>0.04</v>
      </c>
      <c r="W510">
        <v>0.81</v>
      </c>
      <c r="X510">
        <v>0.05</v>
      </c>
      <c r="Y510">
        <v>7.3</v>
      </c>
      <c r="Z510">
        <v>0.1</v>
      </c>
      <c r="AA510">
        <v>1.29</v>
      </c>
      <c r="AB510">
        <v>0.03</v>
      </c>
      <c r="AW510">
        <v>962</v>
      </c>
      <c r="AX510">
        <v>49</v>
      </c>
      <c r="AY510">
        <v>1758</v>
      </c>
      <c r="AZ510">
        <v>54</v>
      </c>
      <c r="BA510">
        <v>922</v>
      </c>
      <c r="BB510">
        <v>30</v>
      </c>
    </row>
    <row r="511" spans="1:54" x14ac:dyDescent="0.25">
      <c r="A511">
        <v>2523</v>
      </c>
      <c r="B511" t="s">
        <v>1191</v>
      </c>
      <c r="C511">
        <v>44.45</v>
      </c>
      <c r="D511">
        <v>0.54</v>
      </c>
      <c r="E511">
        <v>1.1599999999999999</v>
      </c>
      <c r="F511">
        <v>0.05</v>
      </c>
      <c r="G511">
        <v>9.02</v>
      </c>
      <c r="H511">
        <v>0.19</v>
      </c>
      <c r="I511">
        <v>0.41</v>
      </c>
      <c r="J511">
        <v>0.03</v>
      </c>
      <c r="K511">
        <v>22.05</v>
      </c>
      <c r="L511">
        <v>0.26</v>
      </c>
      <c r="M511">
        <v>0.24</v>
      </c>
      <c r="N511">
        <v>0.01</v>
      </c>
      <c r="O511">
        <v>6.93</v>
      </c>
      <c r="P511">
        <v>0.17</v>
      </c>
      <c r="Q511">
        <v>4.7300000000000004</v>
      </c>
      <c r="R511">
        <v>0.06</v>
      </c>
      <c r="S511">
        <v>2.5499999999999998</v>
      </c>
      <c r="T511">
        <v>0.14000000000000001</v>
      </c>
      <c r="U511">
        <v>0.95</v>
      </c>
      <c r="V511">
        <v>0.04</v>
      </c>
      <c r="W511">
        <v>0.8</v>
      </c>
      <c r="X511">
        <v>0.05</v>
      </c>
      <c r="Y511">
        <v>5.44</v>
      </c>
      <c r="Z511">
        <v>0.1</v>
      </c>
      <c r="AA511">
        <v>0.98</v>
      </c>
      <c r="AB511">
        <v>0.03</v>
      </c>
      <c r="AW511">
        <v>869</v>
      </c>
      <c r="AX511">
        <v>44</v>
      </c>
      <c r="AY511">
        <v>1036</v>
      </c>
      <c r="AZ511">
        <v>35</v>
      </c>
      <c r="BA511">
        <v>219</v>
      </c>
      <c r="BB511">
        <v>10</v>
      </c>
    </row>
    <row r="512" spans="1:54" x14ac:dyDescent="0.25">
      <c r="A512">
        <v>2523</v>
      </c>
      <c r="B512" t="s">
        <v>1192</v>
      </c>
      <c r="C512">
        <v>43.87</v>
      </c>
      <c r="D512">
        <v>0.54</v>
      </c>
      <c r="E512">
        <v>1.21</v>
      </c>
      <c r="F512">
        <v>0.05</v>
      </c>
      <c r="G512">
        <v>8.41</v>
      </c>
      <c r="H512">
        <v>0.19</v>
      </c>
      <c r="I512">
        <v>0.39</v>
      </c>
      <c r="J512">
        <v>0.01</v>
      </c>
      <c r="K512">
        <v>23.46</v>
      </c>
      <c r="L512">
        <v>0.26</v>
      </c>
      <c r="M512">
        <v>0.27</v>
      </c>
      <c r="N512">
        <v>0.01</v>
      </c>
      <c r="O512">
        <v>5.74</v>
      </c>
      <c r="P512">
        <v>0.17</v>
      </c>
      <c r="Q512">
        <v>5.03</v>
      </c>
      <c r="R512">
        <v>0.06</v>
      </c>
      <c r="S512">
        <v>2.1800000000000002</v>
      </c>
      <c r="T512">
        <v>7.0000000000000007E-2</v>
      </c>
      <c r="U512">
        <v>1.07</v>
      </c>
      <c r="V512">
        <v>0.04</v>
      </c>
      <c r="W512">
        <v>0.81</v>
      </c>
      <c r="X512">
        <v>0.05</v>
      </c>
      <c r="Y512">
        <v>6.37</v>
      </c>
      <c r="Z512">
        <v>0.08</v>
      </c>
      <c r="AA512">
        <v>0.78</v>
      </c>
      <c r="AB512">
        <v>0.02</v>
      </c>
      <c r="AW512">
        <v>1041</v>
      </c>
      <c r="AX512">
        <v>54</v>
      </c>
      <c r="AY512">
        <v>1834</v>
      </c>
      <c r="AZ512">
        <v>60</v>
      </c>
      <c r="BA512">
        <v>281</v>
      </c>
      <c r="BB512">
        <v>10</v>
      </c>
    </row>
    <row r="513" spans="1:54" x14ac:dyDescent="0.25">
      <c r="A513">
        <v>2524</v>
      </c>
      <c r="B513" t="s">
        <v>1193</v>
      </c>
      <c r="C513">
        <v>47.38</v>
      </c>
      <c r="D513">
        <v>0.54</v>
      </c>
      <c r="E513">
        <v>1.3</v>
      </c>
      <c r="F513">
        <v>0.05</v>
      </c>
      <c r="G513">
        <v>8.59</v>
      </c>
      <c r="H513">
        <v>0.19</v>
      </c>
      <c r="I513">
        <v>0.4</v>
      </c>
      <c r="J513">
        <v>0.01</v>
      </c>
      <c r="K513">
        <v>23.57</v>
      </c>
      <c r="L513">
        <v>0.26</v>
      </c>
      <c r="M513">
        <v>0.22</v>
      </c>
      <c r="N513">
        <v>0.01</v>
      </c>
      <c r="O513">
        <v>5.41</v>
      </c>
      <c r="P513">
        <v>0.17</v>
      </c>
      <c r="Q513">
        <v>3.85</v>
      </c>
      <c r="R513">
        <v>0.04</v>
      </c>
      <c r="S513">
        <v>2.14</v>
      </c>
      <c r="T513">
        <v>7.0000000000000007E-2</v>
      </c>
      <c r="U513">
        <v>1.28</v>
      </c>
      <c r="V513">
        <v>0.05</v>
      </c>
      <c r="W513">
        <v>0.77</v>
      </c>
      <c r="X513">
        <v>0.05</v>
      </c>
      <c r="Y513">
        <v>4.13</v>
      </c>
      <c r="Z513">
        <v>0.08</v>
      </c>
      <c r="AA513">
        <v>0.49</v>
      </c>
      <c r="AB513">
        <v>0.02</v>
      </c>
      <c r="AW513">
        <v>1168</v>
      </c>
      <c r="AX513">
        <v>60</v>
      </c>
      <c r="AY513">
        <v>2327</v>
      </c>
      <c r="AZ513">
        <v>70</v>
      </c>
      <c r="BA513">
        <v>153</v>
      </c>
      <c r="BB513">
        <v>5</v>
      </c>
    </row>
    <row r="514" spans="1:54" x14ac:dyDescent="0.25">
      <c r="A514">
        <v>2525</v>
      </c>
      <c r="B514" t="s">
        <v>1194</v>
      </c>
      <c r="C514">
        <v>44</v>
      </c>
      <c r="D514">
        <v>0.54</v>
      </c>
      <c r="E514">
        <v>1.06</v>
      </c>
      <c r="F514">
        <v>0.05</v>
      </c>
      <c r="G514">
        <v>9</v>
      </c>
      <c r="H514">
        <v>0.19</v>
      </c>
      <c r="I514">
        <v>0.38</v>
      </c>
      <c r="J514">
        <v>0.03</v>
      </c>
      <c r="K514">
        <v>21.85</v>
      </c>
      <c r="L514">
        <v>0.26</v>
      </c>
      <c r="M514">
        <v>0.27</v>
      </c>
      <c r="N514">
        <v>0.03</v>
      </c>
      <c r="O514">
        <v>7.87</v>
      </c>
      <c r="P514">
        <v>0.17</v>
      </c>
      <c r="Q514">
        <v>4.9400000000000004</v>
      </c>
      <c r="R514">
        <v>7.0000000000000007E-2</v>
      </c>
      <c r="S514">
        <v>2.5299999999999998</v>
      </c>
      <c r="T514">
        <v>0.14000000000000001</v>
      </c>
      <c r="U514">
        <v>0.82</v>
      </c>
      <c r="V514">
        <v>0.04</v>
      </c>
      <c r="W514">
        <v>0.91</v>
      </c>
      <c r="X514">
        <v>0.05</v>
      </c>
      <c r="Y514">
        <v>5.08</v>
      </c>
      <c r="Z514">
        <v>0.12</v>
      </c>
      <c r="AA514">
        <v>0.99</v>
      </c>
      <c r="AB514">
        <v>0.03</v>
      </c>
      <c r="AW514">
        <v>706</v>
      </c>
      <c r="AX514">
        <v>40</v>
      </c>
      <c r="AY514">
        <v>763</v>
      </c>
      <c r="AZ514">
        <v>24</v>
      </c>
      <c r="BA514">
        <v>232</v>
      </c>
      <c r="BB514">
        <v>15</v>
      </c>
    </row>
    <row r="515" spans="1:54" x14ac:dyDescent="0.25">
      <c r="A515">
        <v>2525</v>
      </c>
      <c r="B515" t="s">
        <v>1195</v>
      </c>
      <c r="C515">
        <v>44.13</v>
      </c>
      <c r="D515">
        <v>0.54</v>
      </c>
      <c r="E515">
        <v>1.0900000000000001</v>
      </c>
      <c r="F515">
        <v>0.03</v>
      </c>
      <c r="G515">
        <v>8.85</v>
      </c>
      <c r="H515">
        <v>0.19</v>
      </c>
      <c r="I515">
        <v>0.43</v>
      </c>
      <c r="J515">
        <v>0.01</v>
      </c>
      <c r="K515">
        <v>22.82</v>
      </c>
      <c r="L515">
        <v>0.26</v>
      </c>
      <c r="M515">
        <v>0.23</v>
      </c>
      <c r="N515">
        <v>0.01</v>
      </c>
      <c r="O515">
        <v>7.36</v>
      </c>
      <c r="P515">
        <v>0.17</v>
      </c>
      <c r="Q515">
        <v>4.83</v>
      </c>
      <c r="R515">
        <v>0.06</v>
      </c>
      <c r="S515">
        <v>2.56</v>
      </c>
      <c r="T515">
        <v>0.14000000000000001</v>
      </c>
      <c r="U515">
        <v>0.81</v>
      </c>
      <c r="V515">
        <v>0.04</v>
      </c>
      <c r="W515">
        <v>0.84</v>
      </c>
      <c r="X515">
        <v>0.05</v>
      </c>
      <c r="Y515">
        <v>4.82</v>
      </c>
      <c r="Z515">
        <v>0.08</v>
      </c>
      <c r="AA515">
        <v>0.96</v>
      </c>
      <c r="AB515">
        <v>0.02</v>
      </c>
      <c r="AW515">
        <v>1010</v>
      </c>
      <c r="AX515">
        <v>54</v>
      </c>
      <c r="AY515">
        <v>656</v>
      </c>
      <c r="AZ515">
        <v>20</v>
      </c>
      <c r="BA515">
        <v>201</v>
      </c>
      <c r="BB515">
        <v>10</v>
      </c>
    </row>
    <row r="516" spans="1:54" x14ac:dyDescent="0.25">
      <c r="A516">
        <v>2550</v>
      </c>
      <c r="B516" t="s">
        <v>1196</v>
      </c>
      <c r="C516">
        <v>40.340000000000003</v>
      </c>
      <c r="D516">
        <v>0.43</v>
      </c>
      <c r="E516">
        <v>1.1100000000000001</v>
      </c>
      <c r="F516">
        <v>0.05</v>
      </c>
      <c r="G516">
        <v>7.61</v>
      </c>
      <c r="H516">
        <v>0.19</v>
      </c>
      <c r="I516">
        <v>0.37</v>
      </c>
      <c r="J516">
        <v>0.01</v>
      </c>
      <c r="K516">
        <v>20.96</v>
      </c>
      <c r="L516">
        <v>0.26</v>
      </c>
      <c r="M516">
        <v>0.38</v>
      </c>
      <c r="N516">
        <v>0.01</v>
      </c>
      <c r="O516">
        <v>5.44</v>
      </c>
      <c r="P516">
        <v>0.17</v>
      </c>
      <c r="Q516">
        <v>7.66</v>
      </c>
      <c r="R516">
        <v>0.08</v>
      </c>
      <c r="S516">
        <v>2.0299999999999998</v>
      </c>
      <c r="T516">
        <v>0.14000000000000001</v>
      </c>
      <c r="U516">
        <v>1</v>
      </c>
      <c r="V516">
        <v>0.04</v>
      </c>
      <c r="W516">
        <v>0.93</v>
      </c>
      <c r="X516">
        <v>7.0000000000000007E-2</v>
      </c>
      <c r="Y516">
        <v>10.67</v>
      </c>
      <c r="Z516">
        <v>0.12</v>
      </c>
      <c r="AA516">
        <v>1.04</v>
      </c>
      <c r="AB516">
        <v>0.02</v>
      </c>
      <c r="AW516">
        <v>961</v>
      </c>
      <c r="AX516">
        <v>49</v>
      </c>
      <c r="AY516">
        <v>2206</v>
      </c>
      <c r="AZ516">
        <v>70</v>
      </c>
      <c r="BA516">
        <v>487</v>
      </c>
      <c r="BB516">
        <v>15</v>
      </c>
    </row>
    <row r="517" spans="1:54" x14ac:dyDescent="0.25">
      <c r="A517">
        <v>2552</v>
      </c>
      <c r="B517" t="s">
        <v>1197</v>
      </c>
      <c r="C517">
        <v>38.64</v>
      </c>
      <c r="D517">
        <v>0.43</v>
      </c>
      <c r="E517">
        <v>1.1399999999999999</v>
      </c>
      <c r="F517">
        <v>0.05</v>
      </c>
      <c r="G517">
        <v>7.3</v>
      </c>
      <c r="H517">
        <v>0.19</v>
      </c>
      <c r="I517">
        <v>0.36</v>
      </c>
      <c r="J517">
        <v>0.01</v>
      </c>
      <c r="K517">
        <v>20.16</v>
      </c>
      <c r="L517">
        <v>0.26</v>
      </c>
      <c r="M517">
        <v>0.25</v>
      </c>
      <c r="N517">
        <v>0.01</v>
      </c>
      <c r="O517">
        <v>4.63</v>
      </c>
      <c r="P517">
        <v>0.17</v>
      </c>
      <c r="Q517">
        <v>9.66</v>
      </c>
      <c r="R517">
        <v>0.1</v>
      </c>
      <c r="S517">
        <v>1.81</v>
      </c>
      <c r="T517">
        <v>7.0000000000000007E-2</v>
      </c>
      <c r="U517">
        <v>1.04</v>
      </c>
      <c r="V517">
        <v>0.04</v>
      </c>
      <c r="W517">
        <v>0.69</v>
      </c>
      <c r="X517">
        <v>0.05</v>
      </c>
      <c r="Y517">
        <v>13.17</v>
      </c>
      <c r="Z517">
        <v>0.15</v>
      </c>
      <c r="AA517">
        <v>0.71</v>
      </c>
      <c r="AB517">
        <v>0.02</v>
      </c>
      <c r="AW517">
        <v>1005</v>
      </c>
      <c r="AX517">
        <v>54</v>
      </c>
      <c r="AY517">
        <v>2372</v>
      </c>
      <c r="AZ517">
        <v>74</v>
      </c>
      <c r="BA517">
        <v>82</v>
      </c>
      <c r="BB517">
        <v>5</v>
      </c>
    </row>
    <row r="518" spans="1:54" x14ac:dyDescent="0.25">
      <c r="A518">
        <v>2553</v>
      </c>
      <c r="B518" t="s">
        <v>1198</v>
      </c>
      <c r="C518">
        <v>41.68</v>
      </c>
      <c r="D518">
        <v>0.43</v>
      </c>
      <c r="E518">
        <v>1.22</v>
      </c>
      <c r="F518">
        <v>0.05</v>
      </c>
      <c r="G518">
        <v>7.68</v>
      </c>
      <c r="H518">
        <v>0.19</v>
      </c>
      <c r="I518">
        <v>0.39</v>
      </c>
      <c r="J518">
        <v>0.01</v>
      </c>
      <c r="K518">
        <v>22.23</v>
      </c>
      <c r="L518">
        <v>0.26</v>
      </c>
      <c r="M518">
        <v>0.28999999999999998</v>
      </c>
      <c r="N518">
        <v>0.01</v>
      </c>
      <c r="O518">
        <v>5.44</v>
      </c>
      <c r="P518">
        <v>0.17</v>
      </c>
      <c r="Q518">
        <v>6.71</v>
      </c>
      <c r="R518">
        <v>7.0000000000000007E-2</v>
      </c>
      <c r="S518">
        <v>2.04</v>
      </c>
      <c r="T518">
        <v>7.0000000000000007E-2</v>
      </c>
      <c r="U518">
        <v>1.1100000000000001</v>
      </c>
      <c r="V518">
        <v>0.04</v>
      </c>
      <c r="W518">
        <v>0.84</v>
      </c>
      <c r="X518">
        <v>0.05</v>
      </c>
      <c r="Y518">
        <v>9.32</v>
      </c>
      <c r="Z518">
        <v>0.1</v>
      </c>
      <c r="AA518">
        <v>0.55000000000000004</v>
      </c>
      <c r="AB518">
        <v>0.02</v>
      </c>
      <c r="AW518">
        <v>1055</v>
      </c>
      <c r="AX518">
        <v>54</v>
      </c>
      <c r="AY518">
        <v>2651</v>
      </c>
      <c r="AZ518">
        <v>80</v>
      </c>
      <c r="BA518">
        <v>240</v>
      </c>
      <c r="BB518">
        <v>10</v>
      </c>
    </row>
    <row r="519" spans="1:54" x14ac:dyDescent="0.25">
      <c r="A519">
        <v>2557</v>
      </c>
      <c r="B519" t="s">
        <v>1199</v>
      </c>
      <c r="C519">
        <v>47.27</v>
      </c>
      <c r="D519">
        <v>0.54</v>
      </c>
      <c r="E519">
        <v>1.1000000000000001</v>
      </c>
      <c r="F519">
        <v>0.03</v>
      </c>
      <c r="G519">
        <v>9.09</v>
      </c>
      <c r="H519">
        <v>0.19</v>
      </c>
      <c r="I519">
        <v>0.33</v>
      </c>
      <c r="J519">
        <v>0.01</v>
      </c>
      <c r="K519">
        <v>22.68</v>
      </c>
      <c r="L519">
        <v>0.26</v>
      </c>
      <c r="M519">
        <v>0.12</v>
      </c>
      <c r="N519">
        <v>0.01</v>
      </c>
      <c r="O519">
        <v>5.97</v>
      </c>
      <c r="P519">
        <v>0.17</v>
      </c>
      <c r="Q519">
        <v>3.47</v>
      </c>
      <c r="R519">
        <v>0.04</v>
      </c>
      <c r="S519">
        <v>2.56</v>
      </c>
      <c r="T519">
        <v>0.14000000000000001</v>
      </c>
      <c r="U519">
        <v>1.05</v>
      </c>
      <c r="V519">
        <v>0.04</v>
      </c>
      <c r="W519">
        <v>0.75</v>
      </c>
      <c r="X519">
        <v>0.05</v>
      </c>
      <c r="Y519">
        <v>4.47</v>
      </c>
      <c r="Z519">
        <v>0.08</v>
      </c>
      <c r="AA519">
        <v>0.91</v>
      </c>
      <c r="AB519">
        <v>0.02</v>
      </c>
      <c r="AW519">
        <v>839</v>
      </c>
      <c r="AX519">
        <v>44</v>
      </c>
      <c r="AY519">
        <v>626</v>
      </c>
      <c r="AZ519">
        <v>20</v>
      </c>
      <c r="BA519">
        <v>87</v>
      </c>
      <c r="BB519">
        <v>5</v>
      </c>
    </row>
    <row r="520" spans="1:54" x14ac:dyDescent="0.25">
      <c r="A520">
        <v>2558</v>
      </c>
      <c r="B520" t="s">
        <v>1200</v>
      </c>
      <c r="C520">
        <v>43.26</v>
      </c>
      <c r="D520">
        <v>0.54</v>
      </c>
      <c r="E520">
        <v>1.02</v>
      </c>
      <c r="F520">
        <v>0.03</v>
      </c>
      <c r="G520">
        <v>9.34</v>
      </c>
      <c r="H520">
        <v>0.19</v>
      </c>
      <c r="I520">
        <v>0.47</v>
      </c>
      <c r="J520">
        <v>0.03</v>
      </c>
      <c r="K520">
        <v>20.56</v>
      </c>
      <c r="L520">
        <v>0.26</v>
      </c>
      <c r="M520">
        <v>0.31</v>
      </c>
      <c r="N520">
        <v>0.03</v>
      </c>
      <c r="O520">
        <v>8.39</v>
      </c>
      <c r="P520">
        <v>0.25</v>
      </c>
      <c r="Q520">
        <v>6.34</v>
      </c>
      <c r="R520">
        <v>7.0000000000000007E-2</v>
      </c>
      <c r="S520">
        <v>2.7</v>
      </c>
      <c r="T520">
        <v>0.14000000000000001</v>
      </c>
      <c r="U520">
        <v>0.57999999999999996</v>
      </c>
      <c r="V520">
        <v>0.02</v>
      </c>
      <c r="W520">
        <v>0.85</v>
      </c>
      <c r="X520">
        <v>0.05</v>
      </c>
      <c r="Y520">
        <v>5.19</v>
      </c>
      <c r="Z520">
        <v>0.1</v>
      </c>
      <c r="AA520">
        <v>0.8</v>
      </c>
      <c r="AB520">
        <v>0.03</v>
      </c>
      <c r="AW520">
        <v>644</v>
      </c>
      <c r="AX520">
        <v>35</v>
      </c>
      <c r="AY520">
        <v>392</v>
      </c>
      <c r="AZ520">
        <v>20</v>
      </c>
      <c r="BA520">
        <v>120</v>
      </c>
      <c r="BB520">
        <v>10</v>
      </c>
    </row>
    <row r="521" spans="1:54" x14ac:dyDescent="0.25">
      <c r="A521">
        <v>2558</v>
      </c>
      <c r="B521" t="s">
        <v>1201</v>
      </c>
      <c r="C521">
        <v>40.619999999999997</v>
      </c>
      <c r="D521">
        <v>0.43</v>
      </c>
      <c r="E521">
        <v>1.1399999999999999</v>
      </c>
      <c r="F521">
        <v>0.05</v>
      </c>
      <c r="G521">
        <v>8.67</v>
      </c>
      <c r="H521">
        <v>0.19</v>
      </c>
      <c r="I521">
        <v>0.56000000000000005</v>
      </c>
      <c r="J521">
        <v>0.01</v>
      </c>
      <c r="K521">
        <v>22.1</v>
      </c>
      <c r="L521">
        <v>0.26</v>
      </c>
      <c r="M521">
        <v>0.4</v>
      </c>
      <c r="N521">
        <v>0.01</v>
      </c>
      <c r="O521">
        <v>8.7799999999999994</v>
      </c>
      <c r="P521">
        <v>0.25</v>
      </c>
      <c r="Q521">
        <v>6.71</v>
      </c>
      <c r="R521">
        <v>7.0000000000000007E-2</v>
      </c>
      <c r="S521">
        <v>2.58</v>
      </c>
      <c r="T521">
        <v>0.14000000000000001</v>
      </c>
      <c r="U521">
        <v>0.48</v>
      </c>
      <c r="V521">
        <v>0.02</v>
      </c>
      <c r="W521">
        <v>0.86</v>
      </c>
      <c r="X521">
        <v>0.05</v>
      </c>
      <c r="Y521">
        <v>6.2</v>
      </c>
      <c r="Z521">
        <v>0.1</v>
      </c>
      <c r="AA521">
        <v>0.72</v>
      </c>
      <c r="AB521">
        <v>0.02</v>
      </c>
      <c r="AW521">
        <v>727</v>
      </c>
      <c r="AX521">
        <v>40</v>
      </c>
      <c r="AY521">
        <v>467</v>
      </c>
      <c r="AZ521">
        <v>15</v>
      </c>
      <c r="BA521">
        <v>167</v>
      </c>
      <c r="BB521">
        <v>10</v>
      </c>
    </row>
    <row r="522" spans="1:54" x14ac:dyDescent="0.25">
      <c r="A522">
        <v>2564</v>
      </c>
      <c r="B522" t="s">
        <v>1202</v>
      </c>
      <c r="C522">
        <v>42.72</v>
      </c>
      <c r="D522">
        <v>0.54</v>
      </c>
      <c r="E522">
        <v>0.99</v>
      </c>
      <c r="F522">
        <v>0.03</v>
      </c>
      <c r="G522">
        <v>9.1</v>
      </c>
      <c r="H522">
        <v>0.19</v>
      </c>
      <c r="I522">
        <v>0.53</v>
      </c>
      <c r="J522">
        <v>0.03</v>
      </c>
      <c r="K522">
        <v>20.63</v>
      </c>
      <c r="L522">
        <v>0.26</v>
      </c>
      <c r="M522">
        <v>0.44</v>
      </c>
      <c r="N522">
        <v>0.03</v>
      </c>
      <c r="O522">
        <v>9.73</v>
      </c>
      <c r="P522">
        <v>0.25</v>
      </c>
      <c r="Q522">
        <v>7.22</v>
      </c>
      <c r="R522">
        <v>0.08</v>
      </c>
      <c r="S522">
        <v>2.62</v>
      </c>
      <c r="T522">
        <v>0.14000000000000001</v>
      </c>
      <c r="U522">
        <v>0.45</v>
      </c>
      <c r="V522">
        <v>0.02</v>
      </c>
      <c r="W522">
        <v>0.77</v>
      </c>
      <c r="X522">
        <v>0.05</v>
      </c>
      <c r="Y522">
        <v>4.08</v>
      </c>
      <c r="Z522">
        <v>0.1</v>
      </c>
      <c r="AA522">
        <v>0.57999999999999996</v>
      </c>
      <c r="AB522">
        <v>0.03</v>
      </c>
      <c r="AW522">
        <v>570</v>
      </c>
      <c r="AX522">
        <v>30</v>
      </c>
      <c r="AY522">
        <v>212</v>
      </c>
      <c r="AZ522">
        <v>15</v>
      </c>
      <c r="BA522">
        <v>21</v>
      </c>
      <c r="BB522">
        <v>5</v>
      </c>
    </row>
    <row r="523" spans="1:54" x14ac:dyDescent="0.25">
      <c r="A523">
        <v>2564</v>
      </c>
      <c r="B523" t="s">
        <v>1203</v>
      </c>
      <c r="C523">
        <v>49.01</v>
      </c>
      <c r="D523">
        <v>0.54</v>
      </c>
      <c r="E523">
        <v>1.1399999999999999</v>
      </c>
      <c r="F523">
        <v>0.05</v>
      </c>
      <c r="G523">
        <v>9.23</v>
      </c>
      <c r="H523">
        <v>0.19</v>
      </c>
      <c r="I523">
        <v>0.32</v>
      </c>
      <c r="J523">
        <v>0.01</v>
      </c>
      <c r="K523">
        <v>22.67</v>
      </c>
      <c r="L523">
        <v>0.26</v>
      </c>
      <c r="M523">
        <v>0.1</v>
      </c>
      <c r="N523">
        <v>0.01</v>
      </c>
      <c r="O523">
        <v>4.78</v>
      </c>
      <c r="P523">
        <v>0.17</v>
      </c>
      <c r="Q523">
        <v>2.93</v>
      </c>
      <c r="R523">
        <v>0.04</v>
      </c>
      <c r="S523">
        <v>2.64</v>
      </c>
      <c r="T523">
        <v>0.14000000000000001</v>
      </c>
      <c r="U523">
        <v>1.17</v>
      </c>
      <c r="V523">
        <v>0.04</v>
      </c>
      <c r="W523">
        <v>0.76</v>
      </c>
      <c r="X523">
        <v>0.05</v>
      </c>
      <c r="Y523">
        <v>3.65</v>
      </c>
      <c r="Z523">
        <v>0.08</v>
      </c>
      <c r="AA523">
        <v>1.34</v>
      </c>
      <c r="AB523">
        <v>0.03</v>
      </c>
      <c r="AW523">
        <v>769</v>
      </c>
      <c r="AX523">
        <v>40</v>
      </c>
      <c r="AY523">
        <v>709</v>
      </c>
      <c r="AZ523">
        <v>24</v>
      </c>
      <c r="BA523">
        <v>253</v>
      </c>
      <c r="BB523">
        <v>10</v>
      </c>
    </row>
    <row r="524" spans="1:54" x14ac:dyDescent="0.25">
      <c r="A524">
        <v>2567</v>
      </c>
      <c r="B524" t="s">
        <v>1204</v>
      </c>
      <c r="C524">
        <v>47.71</v>
      </c>
      <c r="D524">
        <v>0.54</v>
      </c>
      <c r="E524">
        <v>1.08</v>
      </c>
      <c r="F524">
        <v>0.03</v>
      </c>
      <c r="G524">
        <v>8.7100000000000009</v>
      </c>
      <c r="H524">
        <v>0.19</v>
      </c>
      <c r="I524">
        <v>0.31</v>
      </c>
      <c r="J524">
        <v>0.01</v>
      </c>
      <c r="K524">
        <v>20.09</v>
      </c>
      <c r="L524">
        <v>0.26</v>
      </c>
      <c r="M524">
        <v>0.11</v>
      </c>
      <c r="N524">
        <v>0.01</v>
      </c>
      <c r="O524">
        <v>5.1100000000000003</v>
      </c>
      <c r="P524">
        <v>0.17</v>
      </c>
      <c r="Q524">
        <v>4.3</v>
      </c>
      <c r="R524">
        <v>0.06</v>
      </c>
      <c r="S524">
        <v>2.4300000000000002</v>
      </c>
      <c r="T524">
        <v>0.14000000000000001</v>
      </c>
      <c r="U524">
        <v>1.03</v>
      </c>
      <c r="V524">
        <v>0.04</v>
      </c>
      <c r="W524">
        <v>1.1299999999999999</v>
      </c>
      <c r="X524">
        <v>7.0000000000000007E-2</v>
      </c>
      <c r="Y524">
        <v>6.3</v>
      </c>
      <c r="Z524">
        <v>0.08</v>
      </c>
      <c r="AA524">
        <v>1.39</v>
      </c>
      <c r="AB524">
        <v>0.02</v>
      </c>
      <c r="AW524">
        <v>948</v>
      </c>
      <c r="AX524">
        <v>49</v>
      </c>
      <c r="AY524">
        <v>621</v>
      </c>
      <c r="AZ524">
        <v>20</v>
      </c>
      <c r="BA524">
        <v>617</v>
      </c>
      <c r="BB524">
        <v>20</v>
      </c>
    </row>
    <row r="525" spans="1:54" x14ac:dyDescent="0.25">
      <c r="A525">
        <v>2574</v>
      </c>
      <c r="B525" t="s">
        <v>1205</v>
      </c>
      <c r="C525">
        <v>41.51</v>
      </c>
      <c r="D525">
        <v>0.43</v>
      </c>
      <c r="E525">
        <v>0.98</v>
      </c>
      <c r="F525">
        <v>0.03</v>
      </c>
      <c r="G525">
        <v>8.09</v>
      </c>
      <c r="H525">
        <v>0.19</v>
      </c>
      <c r="I525">
        <v>0.28000000000000003</v>
      </c>
      <c r="J525">
        <v>0.01</v>
      </c>
      <c r="K525">
        <v>17.22</v>
      </c>
      <c r="L525">
        <v>0.2</v>
      </c>
      <c r="M525">
        <v>0.16</v>
      </c>
      <c r="N525">
        <v>0.01</v>
      </c>
      <c r="O525">
        <v>5.91</v>
      </c>
      <c r="P525">
        <v>0.17</v>
      </c>
      <c r="Q525">
        <v>8.14</v>
      </c>
      <c r="R525">
        <v>0.08</v>
      </c>
      <c r="S525">
        <v>2.4700000000000002</v>
      </c>
      <c r="T525">
        <v>0.14000000000000001</v>
      </c>
      <c r="U525">
        <v>0.75</v>
      </c>
      <c r="V525">
        <v>0.02</v>
      </c>
      <c r="W525">
        <v>0.9</v>
      </c>
      <c r="X525">
        <v>0.05</v>
      </c>
      <c r="Y525">
        <v>12.15</v>
      </c>
      <c r="Z525">
        <v>0.15</v>
      </c>
      <c r="AA525">
        <v>1.24</v>
      </c>
      <c r="AB525">
        <v>0.03</v>
      </c>
      <c r="AW525">
        <v>560</v>
      </c>
      <c r="AX525">
        <v>30</v>
      </c>
      <c r="AY525">
        <v>631</v>
      </c>
      <c r="AZ525">
        <v>20</v>
      </c>
      <c r="BA525">
        <v>183</v>
      </c>
      <c r="BB525">
        <v>10</v>
      </c>
    </row>
    <row r="526" spans="1:54" x14ac:dyDescent="0.25">
      <c r="A526">
        <v>2574</v>
      </c>
      <c r="B526" t="s">
        <v>1206</v>
      </c>
      <c r="C526">
        <v>47.96</v>
      </c>
      <c r="D526">
        <v>0.54</v>
      </c>
      <c r="E526">
        <v>1.05</v>
      </c>
      <c r="F526">
        <v>0.03</v>
      </c>
      <c r="G526">
        <v>8.36</v>
      </c>
      <c r="H526">
        <v>0.19</v>
      </c>
      <c r="I526">
        <v>0.3</v>
      </c>
      <c r="J526">
        <v>0.01</v>
      </c>
      <c r="K526">
        <v>20.91</v>
      </c>
      <c r="L526">
        <v>0.26</v>
      </c>
      <c r="M526">
        <v>0.19</v>
      </c>
      <c r="N526">
        <v>0.01</v>
      </c>
      <c r="O526">
        <v>4.78</v>
      </c>
      <c r="P526">
        <v>0.17</v>
      </c>
      <c r="Q526">
        <v>4.21</v>
      </c>
      <c r="R526">
        <v>0.06</v>
      </c>
      <c r="S526">
        <v>2.31</v>
      </c>
      <c r="T526">
        <v>0.14000000000000001</v>
      </c>
      <c r="U526">
        <v>1.05</v>
      </c>
      <c r="V526">
        <v>0.04</v>
      </c>
      <c r="W526">
        <v>0.85</v>
      </c>
      <c r="X526">
        <v>0.05</v>
      </c>
      <c r="Y526">
        <v>6.17</v>
      </c>
      <c r="Z526">
        <v>0.08</v>
      </c>
      <c r="AA526">
        <v>1.47</v>
      </c>
      <c r="AB526">
        <v>0.02</v>
      </c>
      <c r="AW526">
        <v>960</v>
      </c>
      <c r="AX526">
        <v>49</v>
      </c>
      <c r="AY526">
        <v>1036</v>
      </c>
      <c r="AZ526">
        <v>35</v>
      </c>
      <c r="BA526">
        <v>1124</v>
      </c>
      <c r="BB526">
        <v>35</v>
      </c>
    </row>
    <row r="527" spans="1:54" x14ac:dyDescent="0.25">
      <c r="A527">
        <v>2581</v>
      </c>
      <c r="B527" t="s">
        <v>1207</v>
      </c>
      <c r="C527">
        <v>44.08</v>
      </c>
      <c r="D527">
        <v>0.54</v>
      </c>
      <c r="E527">
        <v>1.1200000000000001</v>
      </c>
      <c r="F527">
        <v>0.05</v>
      </c>
      <c r="G527">
        <v>8.7799999999999994</v>
      </c>
      <c r="H527">
        <v>0.19</v>
      </c>
      <c r="I527">
        <v>0.31</v>
      </c>
      <c r="J527">
        <v>0.03</v>
      </c>
      <c r="K527">
        <v>15.52</v>
      </c>
      <c r="L527">
        <v>0.2</v>
      </c>
      <c r="M527">
        <v>0.22</v>
      </c>
      <c r="N527">
        <v>0.01</v>
      </c>
      <c r="O527">
        <v>7.68</v>
      </c>
      <c r="P527">
        <v>0.17</v>
      </c>
      <c r="Q527">
        <v>6.95</v>
      </c>
      <c r="R527">
        <v>7.0000000000000007E-2</v>
      </c>
      <c r="S527">
        <v>2.5499999999999998</v>
      </c>
      <c r="T527">
        <v>0.14000000000000001</v>
      </c>
      <c r="U527">
        <v>0.66</v>
      </c>
      <c r="V527">
        <v>0.02</v>
      </c>
      <c r="W527">
        <v>1.04</v>
      </c>
      <c r="X527">
        <v>7.0000000000000007E-2</v>
      </c>
      <c r="Y527">
        <v>9.7200000000000006</v>
      </c>
      <c r="Z527">
        <v>0.15</v>
      </c>
      <c r="AA527">
        <v>1.0900000000000001</v>
      </c>
      <c r="AB527">
        <v>0.03</v>
      </c>
      <c r="AW527">
        <v>728</v>
      </c>
      <c r="AX527">
        <v>40</v>
      </c>
      <c r="AY527">
        <v>1209</v>
      </c>
      <c r="AZ527">
        <v>40</v>
      </c>
      <c r="BA527">
        <v>83</v>
      </c>
      <c r="BB527">
        <v>10</v>
      </c>
    </row>
    <row r="528" spans="1:54" x14ac:dyDescent="0.25">
      <c r="A528">
        <v>2581</v>
      </c>
      <c r="B528" t="s">
        <v>1208</v>
      </c>
      <c r="C528">
        <v>47.26</v>
      </c>
      <c r="D528">
        <v>0.54</v>
      </c>
      <c r="E528">
        <v>1.1499999999999999</v>
      </c>
      <c r="F528">
        <v>0.05</v>
      </c>
      <c r="G528">
        <v>8.77</v>
      </c>
      <c r="H528">
        <v>0.19</v>
      </c>
      <c r="I528">
        <v>0.38</v>
      </c>
      <c r="J528">
        <v>0.01</v>
      </c>
      <c r="K528">
        <v>18.27</v>
      </c>
      <c r="L528">
        <v>0.2</v>
      </c>
      <c r="M528">
        <v>0.2</v>
      </c>
      <c r="N528">
        <v>0.01</v>
      </c>
      <c r="O528">
        <v>7.09</v>
      </c>
      <c r="P528">
        <v>0.17</v>
      </c>
      <c r="Q528">
        <v>4.76</v>
      </c>
      <c r="R528">
        <v>0.06</v>
      </c>
      <c r="S528">
        <v>2.3199999999999998</v>
      </c>
      <c r="T528">
        <v>0.14000000000000001</v>
      </c>
      <c r="U528">
        <v>0.78</v>
      </c>
      <c r="V528">
        <v>0.02</v>
      </c>
      <c r="W528">
        <v>0.89</v>
      </c>
      <c r="X528">
        <v>0.05</v>
      </c>
      <c r="Y528">
        <v>6.54</v>
      </c>
      <c r="Z528">
        <v>0.08</v>
      </c>
      <c r="AA528">
        <v>1.1599999999999999</v>
      </c>
      <c r="AB528">
        <v>0.02</v>
      </c>
      <c r="AW528">
        <v>891</v>
      </c>
      <c r="AX528">
        <v>44</v>
      </c>
      <c r="AY528">
        <v>1451</v>
      </c>
      <c r="AZ528">
        <v>44</v>
      </c>
      <c r="BA528">
        <v>208</v>
      </c>
      <c r="BB528">
        <v>10</v>
      </c>
    </row>
    <row r="529" spans="1:54" x14ac:dyDescent="0.25">
      <c r="A529">
        <v>2583</v>
      </c>
      <c r="B529" t="s">
        <v>1209</v>
      </c>
      <c r="C529">
        <v>46.37</v>
      </c>
      <c r="D529">
        <v>0.54</v>
      </c>
      <c r="E529">
        <v>1.1100000000000001</v>
      </c>
      <c r="F529">
        <v>0.03</v>
      </c>
      <c r="G529">
        <v>8.84</v>
      </c>
      <c r="H529">
        <v>0.19</v>
      </c>
      <c r="I529">
        <v>0.33</v>
      </c>
      <c r="J529">
        <v>0.01</v>
      </c>
      <c r="K529">
        <v>18.260000000000002</v>
      </c>
      <c r="L529">
        <v>0.2</v>
      </c>
      <c r="M529">
        <v>0.21</v>
      </c>
      <c r="N529">
        <v>0.01</v>
      </c>
      <c r="O529">
        <v>6.3</v>
      </c>
      <c r="P529">
        <v>0.17</v>
      </c>
      <c r="Q529">
        <v>4.95</v>
      </c>
      <c r="R529">
        <v>0.06</v>
      </c>
      <c r="S529">
        <v>2.4</v>
      </c>
      <c r="T529">
        <v>0.14000000000000001</v>
      </c>
      <c r="U529">
        <v>0.85</v>
      </c>
      <c r="V529">
        <v>0.04</v>
      </c>
      <c r="W529">
        <v>0.93</v>
      </c>
      <c r="X529">
        <v>7.0000000000000007E-2</v>
      </c>
      <c r="Y529">
        <v>7.98</v>
      </c>
      <c r="Z529">
        <v>0.1</v>
      </c>
      <c r="AA529">
        <v>1.2</v>
      </c>
      <c r="AB529">
        <v>0.02</v>
      </c>
      <c r="AW529">
        <v>856</v>
      </c>
      <c r="AX529">
        <v>44</v>
      </c>
      <c r="AY529">
        <v>1190</v>
      </c>
      <c r="AZ529">
        <v>40</v>
      </c>
      <c r="BA529">
        <v>77</v>
      </c>
      <c r="BB529">
        <v>5</v>
      </c>
    </row>
    <row r="530" spans="1:54" x14ac:dyDescent="0.25">
      <c r="A530">
        <v>2585</v>
      </c>
      <c r="B530" t="s">
        <v>1210</v>
      </c>
      <c r="C530">
        <v>45.29</v>
      </c>
      <c r="D530">
        <v>0.54</v>
      </c>
      <c r="E530">
        <v>1.1399999999999999</v>
      </c>
      <c r="F530">
        <v>0.05</v>
      </c>
      <c r="G530">
        <v>8.5299999999999994</v>
      </c>
      <c r="H530">
        <v>0.19</v>
      </c>
      <c r="I530">
        <v>0.36</v>
      </c>
      <c r="J530">
        <v>0.01</v>
      </c>
      <c r="K530">
        <v>18.420000000000002</v>
      </c>
      <c r="L530">
        <v>0.2</v>
      </c>
      <c r="M530">
        <v>0.22</v>
      </c>
      <c r="N530">
        <v>0.01</v>
      </c>
      <c r="O530">
        <v>7.65</v>
      </c>
      <c r="P530">
        <v>0.17</v>
      </c>
      <c r="Q530">
        <v>5.22</v>
      </c>
      <c r="R530">
        <v>0.06</v>
      </c>
      <c r="S530">
        <v>2.52</v>
      </c>
      <c r="T530">
        <v>0.14000000000000001</v>
      </c>
      <c r="U530">
        <v>0.72</v>
      </c>
      <c r="V530">
        <v>0.02</v>
      </c>
      <c r="W530">
        <v>0.93</v>
      </c>
      <c r="X530">
        <v>7.0000000000000007E-2</v>
      </c>
      <c r="Y530">
        <v>7.32</v>
      </c>
      <c r="Z530">
        <v>0.08</v>
      </c>
      <c r="AA530">
        <v>1.32</v>
      </c>
      <c r="AB530">
        <v>0.02</v>
      </c>
      <c r="AW530">
        <v>839</v>
      </c>
      <c r="AX530">
        <v>44</v>
      </c>
      <c r="AY530">
        <v>1186</v>
      </c>
      <c r="AZ530">
        <v>40</v>
      </c>
      <c r="BA530">
        <v>746</v>
      </c>
      <c r="BB530">
        <v>24</v>
      </c>
    </row>
    <row r="531" spans="1:54" x14ac:dyDescent="0.25">
      <c r="A531">
        <v>2587</v>
      </c>
      <c r="B531" t="s">
        <v>1211</v>
      </c>
      <c r="C531">
        <v>45.24</v>
      </c>
      <c r="D531">
        <v>0.54</v>
      </c>
      <c r="E531">
        <v>1.02</v>
      </c>
      <c r="F531">
        <v>0.03</v>
      </c>
      <c r="G531">
        <v>8.6</v>
      </c>
      <c r="H531">
        <v>0.19</v>
      </c>
      <c r="I531">
        <v>0.28999999999999998</v>
      </c>
      <c r="J531">
        <v>0.01</v>
      </c>
      <c r="K531">
        <v>19.89</v>
      </c>
      <c r="L531">
        <v>0.26</v>
      </c>
      <c r="M531">
        <v>0.14000000000000001</v>
      </c>
      <c r="N531">
        <v>0.01</v>
      </c>
      <c r="O531">
        <v>6.15</v>
      </c>
      <c r="P531">
        <v>0.17</v>
      </c>
      <c r="Q531">
        <v>5.12</v>
      </c>
      <c r="R531">
        <v>0.06</v>
      </c>
      <c r="S531">
        <v>2.52</v>
      </c>
      <c r="T531">
        <v>0.14000000000000001</v>
      </c>
      <c r="U531">
        <v>0.83</v>
      </c>
      <c r="V531">
        <v>0.04</v>
      </c>
      <c r="W531">
        <v>1.07</v>
      </c>
      <c r="X531">
        <v>7.0000000000000007E-2</v>
      </c>
      <c r="Y531">
        <v>7.53</v>
      </c>
      <c r="Z531">
        <v>0.12</v>
      </c>
      <c r="AA531">
        <v>1.23</v>
      </c>
      <c r="AB531">
        <v>0.03</v>
      </c>
      <c r="AW531">
        <v>841</v>
      </c>
      <c r="AX531">
        <v>44</v>
      </c>
      <c r="AY531">
        <v>566</v>
      </c>
      <c r="AZ531">
        <v>20</v>
      </c>
      <c r="BA531">
        <v>533</v>
      </c>
      <c r="BB531">
        <v>20</v>
      </c>
    </row>
    <row r="532" spans="1:54" x14ac:dyDescent="0.25">
      <c r="A532">
        <v>2587</v>
      </c>
      <c r="B532" t="s">
        <v>1212</v>
      </c>
      <c r="C532">
        <v>45.81</v>
      </c>
      <c r="D532">
        <v>0.54</v>
      </c>
      <c r="E532">
        <v>1.05</v>
      </c>
      <c r="F532">
        <v>0.03</v>
      </c>
      <c r="G532">
        <v>8.61</v>
      </c>
      <c r="H532">
        <v>0.19</v>
      </c>
      <c r="I532">
        <v>0.3</v>
      </c>
      <c r="J532">
        <v>0.01</v>
      </c>
      <c r="K532">
        <v>19.72</v>
      </c>
      <c r="L532">
        <v>0.26</v>
      </c>
      <c r="M532">
        <v>0.13</v>
      </c>
      <c r="N532">
        <v>0.01</v>
      </c>
      <c r="O532">
        <v>5.13</v>
      </c>
      <c r="P532">
        <v>0.17</v>
      </c>
      <c r="Q532">
        <v>5.0599999999999996</v>
      </c>
      <c r="R532">
        <v>0.06</v>
      </c>
      <c r="S532">
        <v>2.44</v>
      </c>
      <c r="T532">
        <v>0.14000000000000001</v>
      </c>
      <c r="U532">
        <v>0.92</v>
      </c>
      <c r="V532">
        <v>0.04</v>
      </c>
      <c r="W532">
        <v>1.1100000000000001</v>
      </c>
      <c r="X532">
        <v>7.0000000000000007E-2</v>
      </c>
      <c r="Y532">
        <v>8.32</v>
      </c>
      <c r="Z532">
        <v>0.1</v>
      </c>
      <c r="AA532">
        <v>1.1499999999999999</v>
      </c>
      <c r="AB532">
        <v>0.02</v>
      </c>
      <c r="AW532">
        <v>917</v>
      </c>
      <c r="AX532">
        <v>49</v>
      </c>
      <c r="AY532">
        <v>595</v>
      </c>
      <c r="AZ532">
        <v>20</v>
      </c>
      <c r="BA532">
        <v>74</v>
      </c>
      <c r="BB532">
        <v>5</v>
      </c>
    </row>
    <row r="533" spans="1:54" x14ac:dyDescent="0.25">
      <c r="A533">
        <v>2591</v>
      </c>
      <c r="B533" t="s">
        <v>1213</v>
      </c>
      <c r="C533">
        <v>47.37</v>
      </c>
      <c r="D533">
        <v>0.54</v>
      </c>
      <c r="E533">
        <v>1.1100000000000001</v>
      </c>
      <c r="F533">
        <v>0.03</v>
      </c>
      <c r="G533">
        <v>8.5299999999999994</v>
      </c>
      <c r="H533">
        <v>0.19</v>
      </c>
      <c r="I533">
        <v>0.32</v>
      </c>
      <c r="J533">
        <v>0.01</v>
      </c>
      <c r="K533">
        <v>20.420000000000002</v>
      </c>
      <c r="L533">
        <v>0.26</v>
      </c>
      <c r="M533">
        <v>0.12</v>
      </c>
      <c r="N533">
        <v>0.01</v>
      </c>
      <c r="O533">
        <v>5.6</v>
      </c>
      <c r="P533">
        <v>0.17</v>
      </c>
      <c r="Q533">
        <v>4.4400000000000004</v>
      </c>
      <c r="R533">
        <v>0.06</v>
      </c>
      <c r="S533">
        <v>2.52</v>
      </c>
      <c r="T533">
        <v>0.14000000000000001</v>
      </c>
      <c r="U533">
        <v>0.99</v>
      </c>
      <c r="V533">
        <v>0.04</v>
      </c>
      <c r="W533">
        <v>0.97</v>
      </c>
      <c r="X533">
        <v>7.0000000000000007E-2</v>
      </c>
      <c r="Y533">
        <v>6.08</v>
      </c>
      <c r="Z533">
        <v>0.08</v>
      </c>
      <c r="AA533">
        <v>1.17</v>
      </c>
      <c r="AB533">
        <v>0.02</v>
      </c>
      <c r="AW533">
        <v>756</v>
      </c>
      <c r="AX533">
        <v>40</v>
      </c>
      <c r="AY533">
        <v>644</v>
      </c>
      <c r="AZ533">
        <v>20</v>
      </c>
      <c r="BA533">
        <v>1184</v>
      </c>
      <c r="BB533">
        <v>40</v>
      </c>
    </row>
    <row r="534" spans="1:54" x14ac:dyDescent="0.25">
      <c r="A534">
        <v>2594</v>
      </c>
      <c r="B534" t="s">
        <v>1214</v>
      </c>
      <c r="C534">
        <v>43.66</v>
      </c>
      <c r="D534">
        <v>0.54</v>
      </c>
      <c r="E534">
        <v>0.99</v>
      </c>
      <c r="F534">
        <v>0.05</v>
      </c>
      <c r="G534">
        <v>8.6300000000000008</v>
      </c>
      <c r="H534">
        <v>0.19</v>
      </c>
      <c r="I534">
        <v>0.5</v>
      </c>
      <c r="J534">
        <v>0.03</v>
      </c>
      <c r="K534">
        <v>21.86</v>
      </c>
      <c r="L534">
        <v>0.26</v>
      </c>
      <c r="M534">
        <v>0.33</v>
      </c>
      <c r="N534">
        <v>0.03</v>
      </c>
      <c r="O534">
        <v>9.3699999999999992</v>
      </c>
      <c r="P534">
        <v>0.25</v>
      </c>
      <c r="Q534">
        <v>6.12</v>
      </c>
      <c r="R534">
        <v>7.0000000000000007E-2</v>
      </c>
      <c r="S534">
        <v>2.52</v>
      </c>
      <c r="T534">
        <v>0.14000000000000001</v>
      </c>
      <c r="U534">
        <v>0.56000000000000005</v>
      </c>
      <c r="V534">
        <v>0.02</v>
      </c>
      <c r="W534">
        <v>0.75</v>
      </c>
      <c r="X534">
        <v>0.05</v>
      </c>
      <c r="Y534">
        <v>3.71</v>
      </c>
      <c r="Z534">
        <v>0.1</v>
      </c>
      <c r="AA534">
        <v>0.69</v>
      </c>
      <c r="AB534">
        <v>0.03</v>
      </c>
      <c r="AW534">
        <v>692</v>
      </c>
      <c r="AX534">
        <v>40</v>
      </c>
      <c r="AY534">
        <v>359</v>
      </c>
      <c r="AZ534">
        <v>20</v>
      </c>
      <c r="BA534">
        <v>197</v>
      </c>
      <c r="BB534">
        <v>10</v>
      </c>
    </row>
    <row r="535" spans="1:54" x14ac:dyDescent="0.25">
      <c r="A535">
        <v>2594</v>
      </c>
      <c r="B535" t="s">
        <v>1215</v>
      </c>
      <c r="C535">
        <v>47.95</v>
      </c>
      <c r="D535">
        <v>0.54</v>
      </c>
      <c r="E535">
        <v>1.1399999999999999</v>
      </c>
      <c r="F535">
        <v>0.05</v>
      </c>
      <c r="G535">
        <v>8.9600000000000009</v>
      </c>
      <c r="H535">
        <v>0.19</v>
      </c>
      <c r="I535">
        <v>0.41</v>
      </c>
      <c r="J535">
        <v>0.01</v>
      </c>
      <c r="K535">
        <v>22.52</v>
      </c>
      <c r="L535">
        <v>0.26</v>
      </c>
      <c r="M535">
        <v>0.17</v>
      </c>
      <c r="N535">
        <v>0.01</v>
      </c>
      <c r="O535">
        <v>5.87</v>
      </c>
      <c r="P535">
        <v>0.17</v>
      </c>
      <c r="Q535">
        <v>3.5</v>
      </c>
      <c r="R535">
        <v>0.04</v>
      </c>
      <c r="S535">
        <v>2.59</v>
      </c>
      <c r="T535">
        <v>0.14000000000000001</v>
      </c>
      <c r="U535">
        <v>1.02</v>
      </c>
      <c r="V535">
        <v>0.04</v>
      </c>
      <c r="W535">
        <v>0.85</v>
      </c>
      <c r="X535">
        <v>0.05</v>
      </c>
      <c r="Y535">
        <v>3.66</v>
      </c>
      <c r="Z535">
        <v>0.08</v>
      </c>
      <c r="AA535">
        <v>1.07</v>
      </c>
      <c r="AB535">
        <v>0.02</v>
      </c>
      <c r="AW535">
        <v>821</v>
      </c>
      <c r="AX535">
        <v>44</v>
      </c>
      <c r="AY535">
        <v>658</v>
      </c>
      <c r="AZ535">
        <v>20</v>
      </c>
      <c r="BA535">
        <v>406</v>
      </c>
      <c r="BB535">
        <v>15</v>
      </c>
    </row>
    <row r="536" spans="1:54" x14ac:dyDescent="0.25">
      <c r="A536">
        <v>2597</v>
      </c>
      <c r="B536" t="s">
        <v>1216</v>
      </c>
      <c r="C536">
        <v>53.17</v>
      </c>
      <c r="D536">
        <v>0.54</v>
      </c>
      <c r="E536">
        <v>1.1599999999999999</v>
      </c>
      <c r="F536">
        <v>0.05</v>
      </c>
      <c r="G536">
        <v>9.64</v>
      </c>
      <c r="H536">
        <v>0.28999999999999998</v>
      </c>
      <c r="I536">
        <v>0.34</v>
      </c>
      <c r="J536">
        <v>0.01</v>
      </c>
      <c r="K536">
        <v>18.21</v>
      </c>
      <c r="L536">
        <v>0.2</v>
      </c>
      <c r="M536">
        <v>0.09</v>
      </c>
      <c r="N536">
        <v>0.01</v>
      </c>
      <c r="O536">
        <v>4.34</v>
      </c>
      <c r="P536">
        <v>0.17</v>
      </c>
      <c r="Q536">
        <v>2.76</v>
      </c>
      <c r="R536">
        <v>0.03</v>
      </c>
      <c r="S536">
        <v>2.46</v>
      </c>
      <c r="T536">
        <v>0.14000000000000001</v>
      </c>
      <c r="U536">
        <v>1.1200000000000001</v>
      </c>
      <c r="V536">
        <v>0.04</v>
      </c>
      <c r="W536">
        <v>1.25</v>
      </c>
      <c r="X536">
        <v>7.0000000000000007E-2</v>
      </c>
      <c r="Y536">
        <v>3.58</v>
      </c>
      <c r="Z536">
        <v>0.05</v>
      </c>
      <c r="AA536">
        <v>1.56</v>
      </c>
      <c r="AB536">
        <v>0.02</v>
      </c>
      <c r="AW536">
        <v>914</v>
      </c>
      <c r="AX536">
        <v>49</v>
      </c>
      <c r="AY536">
        <v>877</v>
      </c>
      <c r="AZ536">
        <v>30</v>
      </c>
      <c r="BA536">
        <v>604</v>
      </c>
      <c r="BB536">
        <v>20</v>
      </c>
    </row>
    <row r="537" spans="1:54" x14ac:dyDescent="0.25">
      <c r="A537">
        <v>2601</v>
      </c>
      <c r="B537" t="s">
        <v>1217</v>
      </c>
      <c r="C537">
        <v>47.98</v>
      </c>
      <c r="D537">
        <v>0.54</v>
      </c>
      <c r="E537">
        <v>1.07</v>
      </c>
      <c r="F537">
        <v>0.03</v>
      </c>
      <c r="G537">
        <v>9.15</v>
      </c>
      <c r="H537">
        <v>0.19</v>
      </c>
      <c r="I537">
        <v>0.32</v>
      </c>
      <c r="J537">
        <v>0.01</v>
      </c>
      <c r="K537">
        <v>19.649999999999999</v>
      </c>
      <c r="L537">
        <v>0.26</v>
      </c>
      <c r="M537">
        <v>0.12</v>
      </c>
      <c r="N537">
        <v>0.01</v>
      </c>
      <c r="O537">
        <v>5.98</v>
      </c>
      <c r="P537">
        <v>0.17</v>
      </c>
      <c r="Q537">
        <v>3.8</v>
      </c>
      <c r="R537">
        <v>0.04</v>
      </c>
      <c r="S537">
        <v>2.65</v>
      </c>
      <c r="T537">
        <v>0.14000000000000001</v>
      </c>
      <c r="U537">
        <v>1.01</v>
      </c>
      <c r="V537">
        <v>0.04</v>
      </c>
      <c r="W537">
        <v>0.96</v>
      </c>
      <c r="X537">
        <v>7.0000000000000007E-2</v>
      </c>
      <c r="Y537">
        <v>5.49</v>
      </c>
      <c r="Z537">
        <v>0.1</v>
      </c>
      <c r="AA537">
        <v>1.52</v>
      </c>
      <c r="AB537">
        <v>0.04</v>
      </c>
      <c r="AW537">
        <v>917</v>
      </c>
      <c r="AX537">
        <v>49</v>
      </c>
      <c r="AY537">
        <v>885</v>
      </c>
      <c r="AZ537">
        <v>30</v>
      </c>
      <c r="BA537">
        <v>285</v>
      </c>
      <c r="BB537">
        <v>10</v>
      </c>
    </row>
    <row r="538" spans="1:54" x14ac:dyDescent="0.25">
      <c r="A538">
        <v>2601</v>
      </c>
      <c r="B538" t="s">
        <v>1218</v>
      </c>
      <c r="C538">
        <v>45.9</v>
      </c>
      <c r="D538">
        <v>0.54</v>
      </c>
      <c r="E538">
        <v>1.04</v>
      </c>
      <c r="F538">
        <v>0.03</v>
      </c>
      <c r="G538">
        <v>8.5</v>
      </c>
      <c r="H538">
        <v>0.19</v>
      </c>
      <c r="I538">
        <v>0.3</v>
      </c>
      <c r="J538">
        <v>0.01</v>
      </c>
      <c r="K538">
        <v>17.579999999999998</v>
      </c>
      <c r="L538">
        <v>0.2</v>
      </c>
      <c r="M538">
        <v>0.11</v>
      </c>
      <c r="N538">
        <v>0.01</v>
      </c>
      <c r="O538">
        <v>4.95</v>
      </c>
      <c r="P538">
        <v>0.17</v>
      </c>
      <c r="Q538">
        <v>5.95</v>
      </c>
      <c r="R538">
        <v>7.0000000000000007E-2</v>
      </c>
      <c r="S538">
        <v>2.3199999999999998</v>
      </c>
      <c r="T538">
        <v>0.14000000000000001</v>
      </c>
      <c r="U538">
        <v>0.94</v>
      </c>
      <c r="V538">
        <v>0.04</v>
      </c>
      <c r="W538">
        <v>1.06</v>
      </c>
      <c r="X538">
        <v>7.0000000000000007E-2</v>
      </c>
      <c r="Y538">
        <v>9.9</v>
      </c>
      <c r="Z538">
        <v>0.12</v>
      </c>
      <c r="AA538">
        <v>1.18</v>
      </c>
      <c r="AB538">
        <v>0.03</v>
      </c>
      <c r="AW538">
        <v>855</v>
      </c>
      <c r="AX538">
        <v>44</v>
      </c>
      <c r="AY538">
        <v>847</v>
      </c>
      <c r="AZ538">
        <v>30</v>
      </c>
      <c r="BA538">
        <v>218</v>
      </c>
      <c r="BB538">
        <v>10</v>
      </c>
    </row>
    <row r="539" spans="1:54" x14ac:dyDescent="0.25">
      <c r="A539">
        <v>2608</v>
      </c>
      <c r="B539" t="s">
        <v>1219</v>
      </c>
      <c r="C539">
        <v>36.840000000000003</v>
      </c>
      <c r="D539">
        <v>0.43</v>
      </c>
      <c r="E539">
        <v>0.44</v>
      </c>
      <c r="F539">
        <v>0.03</v>
      </c>
      <c r="G539">
        <v>5.08</v>
      </c>
      <c r="H539">
        <v>0.19</v>
      </c>
      <c r="I539">
        <v>0.68</v>
      </c>
      <c r="J539">
        <v>0.03</v>
      </c>
      <c r="K539">
        <v>22.42</v>
      </c>
      <c r="L539">
        <v>0.26</v>
      </c>
      <c r="M539">
        <v>0.35</v>
      </c>
      <c r="N539">
        <v>0.03</v>
      </c>
      <c r="O539">
        <v>15.63</v>
      </c>
      <c r="P539">
        <v>0.33</v>
      </c>
      <c r="Q539">
        <v>4.74</v>
      </c>
      <c r="R539">
        <v>0.06</v>
      </c>
      <c r="S539">
        <v>1.68</v>
      </c>
      <c r="T539">
        <v>0.14000000000000001</v>
      </c>
      <c r="U539">
        <v>0.37</v>
      </c>
      <c r="V539">
        <v>0.02</v>
      </c>
      <c r="W539">
        <v>0.83</v>
      </c>
      <c r="X539">
        <v>0.05</v>
      </c>
      <c r="Y539">
        <v>9.4</v>
      </c>
      <c r="Z539">
        <v>0.15</v>
      </c>
      <c r="AA539">
        <v>1.22</v>
      </c>
      <c r="AB539">
        <v>0.03</v>
      </c>
      <c r="AW539">
        <v>2623</v>
      </c>
      <c r="AX539">
        <v>135</v>
      </c>
      <c r="AY539">
        <v>126</v>
      </c>
      <c r="AZ539">
        <v>15</v>
      </c>
      <c r="BA539">
        <v>65</v>
      </c>
      <c r="BB539">
        <v>10</v>
      </c>
    </row>
    <row r="540" spans="1:54" x14ac:dyDescent="0.25">
      <c r="A540">
        <v>2608</v>
      </c>
      <c r="B540" t="s">
        <v>1220</v>
      </c>
      <c r="C540">
        <v>46.69</v>
      </c>
      <c r="D540">
        <v>0.54</v>
      </c>
      <c r="E540">
        <v>1.06</v>
      </c>
      <c r="F540">
        <v>0.03</v>
      </c>
      <c r="G540">
        <v>8.4700000000000006</v>
      </c>
      <c r="H540">
        <v>0.19</v>
      </c>
      <c r="I540">
        <v>0.3</v>
      </c>
      <c r="J540">
        <v>0.01</v>
      </c>
      <c r="K540">
        <v>17.64</v>
      </c>
      <c r="L540">
        <v>0.2</v>
      </c>
      <c r="M540">
        <v>0.11</v>
      </c>
      <c r="N540">
        <v>0.01</v>
      </c>
      <c r="O540">
        <v>4.2300000000000004</v>
      </c>
      <c r="P540">
        <v>0.17</v>
      </c>
      <c r="Q540">
        <v>5.55</v>
      </c>
      <c r="R540">
        <v>0.06</v>
      </c>
      <c r="S540">
        <v>2.16</v>
      </c>
      <c r="T540">
        <v>7.0000000000000007E-2</v>
      </c>
      <c r="U540">
        <v>1.02</v>
      </c>
      <c r="V540">
        <v>0.04</v>
      </c>
      <c r="W540">
        <v>0.76</v>
      </c>
      <c r="X540">
        <v>0.05</v>
      </c>
      <c r="Y540">
        <v>10.78</v>
      </c>
      <c r="Z540">
        <v>0.12</v>
      </c>
      <c r="AA540">
        <v>0.94</v>
      </c>
      <c r="AB540">
        <v>0.02</v>
      </c>
      <c r="AW540">
        <v>732</v>
      </c>
      <c r="AX540">
        <v>40</v>
      </c>
      <c r="AY540">
        <v>894</v>
      </c>
      <c r="AZ540">
        <v>30</v>
      </c>
      <c r="BA540">
        <v>212</v>
      </c>
      <c r="BB540">
        <v>10</v>
      </c>
    </row>
    <row r="541" spans="1:54" x14ac:dyDescent="0.25">
      <c r="A541">
        <v>2631</v>
      </c>
      <c r="B541" t="s">
        <v>1221</v>
      </c>
      <c r="C541">
        <v>45.48</v>
      </c>
      <c r="D541">
        <v>0.54</v>
      </c>
      <c r="E541">
        <v>0.86</v>
      </c>
      <c r="F541">
        <v>0.05</v>
      </c>
      <c r="G541">
        <v>8.67</v>
      </c>
      <c r="H541">
        <v>0.19</v>
      </c>
      <c r="I541">
        <v>0.27</v>
      </c>
      <c r="J541">
        <v>0.03</v>
      </c>
      <c r="K541">
        <v>16.690000000000001</v>
      </c>
      <c r="L541">
        <v>0.2</v>
      </c>
      <c r="M541">
        <v>0.25</v>
      </c>
      <c r="N541">
        <v>0.01</v>
      </c>
      <c r="O541">
        <v>5.95</v>
      </c>
      <c r="P541">
        <v>0.17</v>
      </c>
      <c r="Q541">
        <v>6.37</v>
      </c>
      <c r="R541">
        <v>7.0000000000000007E-2</v>
      </c>
      <c r="S541">
        <v>2.42</v>
      </c>
      <c r="T541">
        <v>0.14000000000000001</v>
      </c>
      <c r="U541">
        <v>0.73</v>
      </c>
      <c r="V541">
        <v>0.02</v>
      </c>
      <c r="W541">
        <v>0.86</v>
      </c>
      <c r="X541">
        <v>0.05</v>
      </c>
      <c r="Y541">
        <v>10.220000000000001</v>
      </c>
      <c r="Z541">
        <v>0.15</v>
      </c>
      <c r="AA541">
        <v>0.72</v>
      </c>
      <c r="AB541">
        <v>0.03</v>
      </c>
      <c r="AW541">
        <v>772</v>
      </c>
      <c r="AX541">
        <v>40</v>
      </c>
      <c r="AY541">
        <v>1332</v>
      </c>
      <c r="AZ541">
        <v>40</v>
      </c>
      <c r="BA541">
        <v>177</v>
      </c>
      <c r="BB541">
        <v>10</v>
      </c>
    </row>
    <row r="542" spans="1:54" x14ac:dyDescent="0.25">
      <c r="A542">
        <v>2631</v>
      </c>
      <c r="B542" t="s">
        <v>1222</v>
      </c>
      <c r="C542">
        <v>44.42</v>
      </c>
      <c r="D542">
        <v>0.54</v>
      </c>
      <c r="E542">
        <v>0.77</v>
      </c>
      <c r="F542">
        <v>0.03</v>
      </c>
      <c r="G542">
        <v>9.16</v>
      </c>
      <c r="H542">
        <v>0.19</v>
      </c>
      <c r="I542">
        <v>0.63</v>
      </c>
      <c r="J542">
        <v>0.01</v>
      </c>
      <c r="K542">
        <v>19.13</v>
      </c>
      <c r="L542">
        <v>0.2</v>
      </c>
      <c r="M542">
        <v>0.48</v>
      </c>
      <c r="N542">
        <v>0.01</v>
      </c>
      <c r="O542">
        <v>8.74</v>
      </c>
      <c r="P542">
        <v>0.25</v>
      </c>
      <c r="Q542">
        <v>7.25</v>
      </c>
      <c r="R542">
        <v>0.08</v>
      </c>
      <c r="S542">
        <v>3.22</v>
      </c>
      <c r="T542">
        <v>0.14000000000000001</v>
      </c>
      <c r="U542">
        <v>1.21</v>
      </c>
      <c r="V542">
        <v>0.05</v>
      </c>
      <c r="W542">
        <v>0.9</v>
      </c>
      <c r="X542">
        <v>0.05</v>
      </c>
      <c r="Y542">
        <v>3.23</v>
      </c>
      <c r="Z542">
        <v>0.05</v>
      </c>
      <c r="AA542">
        <v>0.74</v>
      </c>
      <c r="AB542">
        <v>0.02</v>
      </c>
      <c r="AW542">
        <v>293</v>
      </c>
      <c r="AX542">
        <v>15</v>
      </c>
      <c r="AY542">
        <v>373</v>
      </c>
      <c r="AZ542">
        <v>15</v>
      </c>
      <c r="BA542">
        <v>57</v>
      </c>
      <c r="BB542">
        <v>5</v>
      </c>
    </row>
    <row r="543" spans="1:54" x14ac:dyDescent="0.25">
      <c r="A543">
        <v>2640</v>
      </c>
      <c r="B543" t="s">
        <v>1223</v>
      </c>
      <c r="C543">
        <v>51.62</v>
      </c>
      <c r="D543">
        <v>0.54</v>
      </c>
      <c r="E543">
        <v>0.94</v>
      </c>
      <c r="F543">
        <v>0.03</v>
      </c>
      <c r="G543">
        <v>9.83</v>
      </c>
      <c r="H543">
        <v>0.28999999999999998</v>
      </c>
      <c r="I543">
        <v>0.28000000000000003</v>
      </c>
      <c r="J543">
        <v>0.01</v>
      </c>
      <c r="K543">
        <v>16.760000000000002</v>
      </c>
      <c r="L543">
        <v>0.2</v>
      </c>
      <c r="M543">
        <v>0.32</v>
      </c>
      <c r="N543">
        <v>0.01</v>
      </c>
      <c r="O543">
        <v>6.3</v>
      </c>
      <c r="P543">
        <v>0.17</v>
      </c>
      <c r="Q543">
        <v>5.8</v>
      </c>
      <c r="R543">
        <v>7.0000000000000007E-2</v>
      </c>
      <c r="S543">
        <v>3.05</v>
      </c>
      <c r="T543">
        <v>0.14000000000000001</v>
      </c>
      <c r="U543">
        <v>0.91</v>
      </c>
      <c r="V543">
        <v>0.04</v>
      </c>
      <c r="W543">
        <v>1.1499999999999999</v>
      </c>
      <c r="X543">
        <v>7.0000000000000007E-2</v>
      </c>
      <c r="Y543">
        <v>2.2599999999999998</v>
      </c>
      <c r="Z543">
        <v>0.05</v>
      </c>
      <c r="AA543">
        <v>0.5</v>
      </c>
      <c r="AB543">
        <v>0.02</v>
      </c>
      <c r="AW543">
        <v>586</v>
      </c>
      <c r="AX543">
        <v>30</v>
      </c>
      <c r="AY543">
        <v>1546</v>
      </c>
      <c r="AZ543">
        <v>49</v>
      </c>
      <c r="BA543">
        <v>88</v>
      </c>
      <c r="BB543">
        <v>5</v>
      </c>
    </row>
    <row r="544" spans="1:54" x14ac:dyDescent="0.25">
      <c r="A544">
        <v>2641</v>
      </c>
      <c r="B544" t="s">
        <v>1224</v>
      </c>
      <c r="C544">
        <v>45.49</v>
      </c>
      <c r="D544">
        <v>0.54</v>
      </c>
      <c r="E544">
        <v>1.01</v>
      </c>
      <c r="F544">
        <v>0.03</v>
      </c>
      <c r="G544">
        <v>9.09</v>
      </c>
      <c r="H544">
        <v>0.19</v>
      </c>
      <c r="I544">
        <v>0.32</v>
      </c>
      <c r="J544">
        <v>0.01</v>
      </c>
      <c r="K544">
        <v>18.72</v>
      </c>
      <c r="L544">
        <v>0.2</v>
      </c>
      <c r="M544">
        <v>0.43</v>
      </c>
      <c r="N544">
        <v>0.01</v>
      </c>
      <c r="O544">
        <v>7.44</v>
      </c>
      <c r="P544">
        <v>0.17</v>
      </c>
      <c r="Q544">
        <v>7.05</v>
      </c>
      <c r="R544">
        <v>0.08</v>
      </c>
      <c r="S544">
        <v>3.36</v>
      </c>
      <c r="T544">
        <v>0.14000000000000001</v>
      </c>
      <c r="U544">
        <v>2.2799999999999998</v>
      </c>
      <c r="V544">
        <v>7.0000000000000007E-2</v>
      </c>
      <c r="W544">
        <v>1.1299999999999999</v>
      </c>
      <c r="X544">
        <v>7.0000000000000007E-2</v>
      </c>
      <c r="Y544">
        <v>2.66</v>
      </c>
      <c r="Z544">
        <v>0.05</v>
      </c>
      <c r="AA544">
        <v>0.66</v>
      </c>
      <c r="AB544">
        <v>0.02</v>
      </c>
      <c r="AW544">
        <v>888</v>
      </c>
      <c r="AX544">
        <v>44</v>
      </c>
      <c r="AY544">
        <v>1876</v>
      </c>
      <c r="AZ544">
        <v>60</v>
      </c>
      <c r="BA544">
        <v>38</v>
      </c>
      <c r="BB544">
        <v>5</v>
      </c>
    </row>
    <row r="545" spans="1:54" x14ac:dyDescent="0.25">
      <c r="A545">
        <v>2642</v>
      </c>
      <c r="B545" t="s">
        <v>1225</v>
      </c>
      <c r="C545">
        <v>24.55</v>
      </c>
      <c r="D545">
        <v>0.32</v>
      </c>
      <c r="E545">
        <v>0.43</v>
      </c>
      <c r="F545">
        <v>0.03</v>
      </c>
      <c r="G545">
        <v>5.2</v>
      </c>
      <c r="H545">
        <v>0.19</v>
      </c>
      <c r="I545">
        <v>0.08</v>
      </c>
      <c r="J545">
        <v>0.03</v>
      </c>
      <c r="K545">
        <v>40.119999999999997</v>
      </c>
      <c r="L545">
        <v>0.46</v>
      </c>
      <c r="M545">
        <v>5.1100000000000003</v>
      </c>
      <c r="N545">
        <v>0.11</v>
      </c>
      <c r="O545">
        <v>7.53</v>
      </c>
      <c r="P545">
        <v>0.17</v>
      </c>
      <c r="Q545">
        <v>3.59</v>
      </c>
      <c r="R545">
        <v>0.06</v>
      </c>
      <c r="S545">
        <v>1.66</v>
      </c>
      <c r="T545">
        <v>0.14000000000000001</v>
      </c>
      <c r="U545">
        <v>0.21</v>
      </c>
      <c r="V545">
        <v>0.02</v>
      </c>
      <c r="W545">
        <v>0.69</v>
      </c>
      <c r="X545">
        <v>0.05</v>
      </c>
      <c r="Y545">
        <v>8.5500000000000007</v>
      </c>
      <c r="Z545">
        <v>0.15</v>
      </c>
      <c r="AA545">
        <v>1.81</v>
      </c>
      <c r="AB545">
        <v>0.05</v>
      </c>
      <c r="AW545">
        <v>560</v>
      </c>
      <c r="AX545">
        <v>49</v>
      </c>
      <c r="AY545">
        <v>2630</v>
      </c>
      <c r="AZ545">
        <v>80</v>
      </c>
      <c r="BA545">
        <v>518</v>
      </c>
      <c r="BB545">
        <v>20</v>
      </c>
    </row>
    <row r="546" spans="1:54" x14ac:dyDescent="0.25">
      <c r="A546">
        <v>2642</v>
      </c>
      <c r="B546" t="s">
        <v>1226</v>
      </c>
      <c r="C546">
        <v>46.64</v>
      </c>
      <c r="D546">
        <v>0.54</v>
      </c>
      <c r="E546">
        <v>0.92</v>
      </c>
      <c r="F546">
        <v>0.03</v>
      </c>
      <c r="G546">
        <v>10.199999999999999</v>
      </c>
      <c r="H546">
        <v>0.28999999999999998</v>
      </c>
      <c r="I546">
        <v>0.28000000000000003</v>
      </c>
      <c r="J546">
        <v>0.01</v>
      </c>
      <c r="K546">
        <v>17.059999999999999</v>
      </c>
      <c r="L546">
        <v>0.2</v>
      </c>
      <c r="M546">
        <v>0.35</v>
      </c>
      <c r="N546">
        <v>0.01</v>
      </c>
      <c r="O546">
        <v>7.89</v>
      </c>
      <c r="P546">
        <v>0.17</v>
      </c>
      <c r="Q546">
        <v>6</v>
      </c>
      <c r="R546">
        <v>7.0000000000000007E-2</v>
      </c>
      <c r="S546">
        <v>4.17</v>
      </c>
      <c r="T546">
        <v>0.14000000000000001</v>
      </c>
      <c r="U546">
        <v>2.37</v>
      </c>
      <c r="V546">
        <v>7.0000000000000007E-2</v>
      </c>
      <c r="W546">
        <v>1.31</v>
      </c>
      <c r="X546">
        <v>7.0000000000000007E-2</v>
      </c>
      <c r="Y546">
        <v>1.9</v>
      </c>
      <c r="Z546">
        <v>0.05</v>
      </c>
      <c r="AA546">
        <v>0.57999999999999996</v>
      </c>
      <c r="AB546">
        <v>0.02</v>
      </c>
      <c r="AW546">
        <v>715</v>
      </c>
      <c r="AX546">
        <v>40</v>
      </c>
      <c r="AY546">
        <v>1367</v>
      </c>
      <c r="AZ546">
        <v>44</v>
      </c>
      <c r="BA546">
        <v>74</v>
      </c>
      <c r="BB546">
        <v>5</v>
      </c>
    </row>
    <row r="547" spans="1:54" x14ac:dyDescent="0.25">
      <c r="A547">
        <v>2653</v>
      </c>
      <c r="B547" t="s">
        <v>1227</v>
      </c>
      <c r="C547">
        <v>50.02</v>
      </c>
      <c r="D547">
        <v>0.54</v>
      </c>
      <c r="E547">
        <v>1.08</v>
      </c>
      <c r="F547">
        <v>0.03</v>
      </c>
      <c r="G547">
        <v>8.86</v>
      </c>
      <c r="H547">
        <v>0.19</v>
      </c>
      <c r="I547">
        <v>0.31</v>
      </c>
      <c r="J547">
        <v>0.01</v>
      </c>
      <c r="K547">
        <v>18.27</v>
      </c>
      <c r="L547">
        <v>0.2</v>
      </c>
      <c r="M547">
        <v>0.14000000000000001</v>
      </c>
      <c r="N547">
        <v>0.01</v>
      </c>
      <c r="O547">
        <v>4.9800000000000004</v>
      </c>
      <c r="P547">
        <v>0.17</v>
      </c>
      <c r="Q547">
        <v>3.93</v>
      </c>
      <c r="R547">
        <v>0.04</v>
      </c>
      <c r="S547">
        <v>2.68</v>
      </c>
      <c r="T547">
        <v>0.14000000000000001</v>
      </c>
      <c r="U547">
        <v>0.88</v>
      </c>
      <c r="V547">
        <v>0.04</v>
      </c>
      <c r="W547">
        <v>0.92</v>
      </c>
      <c r="X547">
        <v>0.05</v>
      </c>
      <c r="Y547">
        <v>5.86</v>
      </c>
      <c r="Z547">
        <v>0.08</v>
      </c>
      <c r="AA547">
        <v>1.71</v>
      </c>
      <c r="AB547">
        <v>0.02</v>
      </c>
      <c r="AW547">
        <v>898</v>
      </c>
      <c r="AX547">
        <v>45</v>
      </c>
      <c r="AY547">
        <v>946</v>
      </c>
      <c r="AZ547">
        <v>30</v>
      </c>
      <c r="BA547">
        <v>1040</v>
      </c>
      <c r="BB547">
        <v>35</v>
      </c>
    </row>
    <row r="548" spans="1:54" x14ac:dyDescent="0.25">
      <c r="A548">
        <v>2656</v>
      </c>
      <c r="B548" t="s">
        <v>1228</v>
      </c>
      <c r="C548">
        <v>46.9</v>
      </c>
      <c r="D548">
        <v>0.54</v>
      </c>
      <c r="E548">
        <v>1.03</v>
      </c>
      <c r="F548">
        <v>0.03</v>
      </c>
      <c r="G548">
        <v>9.02</v>
      </c>
      <c r="H548">
        <v>0.19</v>
      </c>
      <c r="I548">
        <v>0.31</v>
      </c>
      <c r="J548">
        <v>0.03</v>
      </c>
      <c r="K548">
        <v>18.79</v>
      </c>
      <c r="L548">
        <v>0.2</v>
      </c>
      <c r="M548">
        <v>0.15</v>
      </c>
      <c r="N548">
        <v>0.01</v>
      </c>
      <c r="O548">
        <v>6.91</v>
      </c>
      <c r="P548">
        <v>0.17</v>
      </c>
      <c r="Q548">
        <v>4.1500000000000004</v>
      </c>
      <c r="R548">
        <v>0.06</v>
      </c>
      <c r="S548">
        <v>2.62</v>
      </c>
      <c r="T548">
        <v>0.14000000000000001</v>
      </c>
      <c r="U548">
        <v>0.79</v>
      </c>
      <c r="V548">
        <v>0.02</v>
      </c>
      <c r="W548">
        <v>0.95</v>
      </c>
      <c r="X548">
        <v>7.0000000000000007E-2</v>
      </c>
      <c r="Y548">
        <v>6.62</v>
      </c>
      <c r="Z548">
        <v>0.12</v>
      </c>
      <c r="AA548">
        <v>1.22</v>
      </c>
      <c r="AB548">
        <v>0.04</v>
      </c>
      <c r="AW548">
        <v>926</v>
      </c>
      <c r="AX548">
        <v>49</v>
      </c>
      <c r="AY548">
        <v>890</v>
      </c>
      <c r="AZ548">
        <v>30</v>
      </c>
      <c r="BA548">
        <v>540</v>
      </c>
      <c r="BB548">
        <v>20</v>
      </c>
    </row>
    <row r="549" spans="1:54" x14ac:dyDescent="0.25">
      <c r="A549">
        <v>2660</v>
      </c>
      <c r="B549" t="s">
        <v>1229</v>
      </c>
      <c r="C549">
        <v>36.15</v>
      </c>
      <c r="D549">
        <v>0.43</v>
      </c>
      <c r="E549">
        <v>0.94</v>
      </c>
      <c r="F549">
        <v>0.03</v>
      </c>
      <c r="G549">
        <v>8.1199999999999992</v>
      </c>
      <c r="H549">
        <v>0.19</v>
      </c>
      <c r="I549">
        <v>0.28000000000000003</v>
      </c>
      <c r="J549">
        <v>0.03</v>
      </c>
      <c r="K549">
        <v>19.489999999999998</v>
      </c>
      <c r="L549">
        <v>0.26</v>
      </c>
      <c r="M549">
        <v>0.27</v>
      </c>
      <c r="N549">
        <v>0.01</v>
      </c>
      <c r="O549">
        <v>8.01</v>
      </c>
      <c r="P549">
        <v>0.17</v>
      </c>
      <c r="Q549">
        <v>7.7</v>
      </c>
      <c r="R549">
        <v>0.08</v>
      </c>
      <c r="S549">
        <v>2.58</v>
      </c>
      <c r="T549">
        <v>0.14000000000000001</v>
      </c>
      <c r="U549">
        <v>0.37</v>
      </c>
      <c r="V549">
        <v>0.02</v>
      </c>
      <c r="W549">
        <v>0.87</v>
      </c>
      <c r="X549">
        <v>0.05</v>
      </c>
      <c r="Y549">
        <v>13.49</v>
      </c>
      <c r="Z549">
        <v>0.17</v>
      </c>
      <c r="AA549">
        <v>1.34</v>
      </c>
      <c r="AB549">
        <v>0.04</v>
      </c>
      <c r="AW549">
        <v>1153</v>
      </c>
      <c r="AX549">
        <v>60</v>
      </c>
      <c r="AY549">
        <v>1403</v>
      </c>
      <c r="AZ549">
        <v>45</v>
      </c>
      <c r="BA549">
        <v>397</v>
      </c>
      <c r="BB549">
        <v>15</v>
      </c>
    </row>
    <row r="550" spans="1:54" x14ac:dyDescent="0.25">
      <c r="A550">
        <v>2660</v>
      </c>
      <c r="B550" t="s">
        <v>1230</v>
      </c>
      <c r="C550">
        <v>50.33</v>
      </c>
      <c r="D550">
        <v>0.54</v>
      </c>
      <c r="E550">
        <v>0.99</v>
      </c>
      <c r="F550">
        <v>0.03</v>
      </c>
      <c r="G550">
        <v>9.5500000000000007</v>
      </c>
      <c r="H550">
        <v>0.28999999999999998</v>
      </c>
      <c r="I550">
        <v>0.28999999999999998</v>
      </c>
      <c r="J550">
        <v>0.01</v>
      </c>
      <c r="K550">
        <v>17.260000000000002</v>
      </c>
      <c r="L550">
        <v>0.2</v>
      </c>
      <c r="M550">
        <v>0.28000000000000003</v>
      </c>
      <c r="N550">
        <v>0.01</v>
      </c>
      <c r="O550">
        <v>7.6</v>
      </c>
      <c r="P550">
        <v>0.17</v>
      </c>
      <c r="Q550">
        <v>3.97</v>
      </c>
      <c r="R550">
        <v>0.04</v>
      </c>
      <c r="S550">
        <v>2.79</v>
      </c>
      <c r="T550">
        <v>0.14000000000000001</v>
      </c>
      <c r="U550">
        <v>0.89</v>
      </c>
      <c r="V550">
        <v>0.04</v>
      </c>
      <c r="W550">
        <v>0.91</v>
      </c>
      <c r="X550">
        <v>0.05</v>
      </c>
      <c r="Y550">
        <v>4.26</v>
      </c>
      <c r="Z550">
        <v>0.08</v>
      </c>
      <c r="AA550">
        <v>0.62</v>
      </c>
      <c r="AB550">
        <v>0.02</v>
      </c>
      <c r="AW550">
        <v>683</v>
      </c>
      <c r="AX550">
        <v>35</v>
      </c>
      <c r="AY550">
        <v>963</v>
      </c>
      <c r="AZ550">
        <v>30</v>
      </c>
      <c r="BA550">
        <v>68</v>
      </c>
      <c r="BB550">
        <v>5</v>
      </c>
    </row>
    <row r="551" spans="1:54" x14ac:dyDescent="0.25">
      <c r="A551">
        <v>2662</v>
      </c>
      <c r="B551" t="s">
        <v>1231</v>
      </c>
      <c r="C551">
        <v>47.27</v>
      </c>
      <c r="D551">
        <v>0.54</v>
      </c>
      <c r="E551">
        <v>0.93</v>
      </c>
      <c r="F551">
        <v>0.03</v>
      </c>
      <c r="G551">
        <v>9.0500000000000007</v>
      </c>
      <c r="H551">
        <v>0.19</v>
      </c>
      <c r="I551">
        <v>0.28000000000000003</v>
      </c>
      <c r="J551">
        <v>0.01</v>
      </c>
      <c r="K551">
        <v>19.190000000000001</v>
      </c>
      <c r="L551">
        <v>0.2</v>
      </c>
      <c r="M551">
        <v>0.24</v>
      </c>
      <c r="N551">
        <v>0.01</v>
      </c>
      <c r="O551">
        <v>7.69</v>
      </c>
      <c r="P551">
        <v>0.17</v>
      </c>
      <c r="Q551">
        <v>4.75</v>
      </c>
      <c r="R551">
        <v>0.06</v>
      </c>
      <c r="S551">
        <v>2.96</v>
      </c>
      <c r="T551">
        <v>0.14000000000000001</v>
      </c>
      <c r="U551">
        <v>0.89</v>
      </c>
      <c r="V551">
        <v>0.04</v>
      </c>
      <c r="W551">
        <v>1.1399999999999999</v>
      </c>
      <c r="X551">
        <v>7.0000000000000007E-2</v>
      </c>
      <c r="Y551">
        <v>4.18</v>
      </c>
      <c r="Z551">
        <v>0.08</v>
      </c>
      <c r="AA551">
        <v>1.1100000000000001</v>
      </c>
      <c r="AB551">
        <v>0.03</v>
      </c>
      <c r="AW551">
        <v>716</v>
      </c>
      <c r="AX551">
        <v>40</v>
      </c>
      <c r="AY551">
        <v>907</v>
      </c>
      <c r="AZ551">
        <v>30</v>
      </c>
      <c r="BA551">
        <v>107</v>
      </c>
      <c r="BB551">
        <v>10</v>
      </c>
    </row>
    <row r="552" spans="1:54" x14ac:dyDescent="0.25">
      <c r="A552">
        <v>2662</v>
      </c>
      <c r="B552" t="s">
        <v>1232</v>
      </c>
      <c r="C552">
        <v>47.5</v>
      </c>
      <c r="D552">
        <v>0.54</v>
      </c>
      <c r="E552">
        <v>0.94</v>
      </c>
      <c r="F552">
        <v>0.03</v>
      </c>
      <c r="G552">
        <v>8.73</v>
      </c>
      <c r="H552">
        <v>0.19</v>
      </c>
      <c r="I552">
        <v>0.28999999999999998</v>
      </c>
      <c r="J552">
        <v>0.01</v>
      </c>
      <c r="K552">
        <v>20.100000000000001</v>
      </c>
      <c r="L552">
        <v>0.26</v>
      </c>
      <c r="M552">
        <v>0.24</v>
      </c>
      <c r="N552">
        <v>0.01</v>
      </c>
      <c r="O552">
        <v>7.36</v>
      </c>
      <c r="P552">
        <v>0.17</v>
      </c>
      <c r="Q552">
        <v>4.62</v>
      </c>
      <c r="R552">
        <v>0.06</v>
      </c>
      <c r="S552">
        <v>2.94</v>
      </c>
      <c r="T552">
        <v>0.14000000000000001</v>
      </c>
      <c r="U552">
        <v>0.93</v>
      </c>
      <c r="V552">
        <v>0.04</v>
      </c>
      <c r="W552">
        <v>1.1599999999999999</v>
      </c>
      <c r="X552">
        <v>7.0000000000000007E-2</v>
      </c>
      <c r="Y552">
        <v>3.71</v>
      </c>
      <c r="Z552">
        <v>0.05</v>
      </c>
      <c r="AA552">
        <v>1.19</v>
      </c>
      <c r="AB552">
        <v>0.02</v>
      </c>
      <c r="AW552">
        <v>712</v>
      </c>
      <c r="AX552">
        <v>40</v>
      </c>
      <c r="AY552">
        <v>946</v>
      </c>
      <c r="AZ552">
        <v>30</v>
      </c>
      <c r="BA552">
        <v>506</v>
      </c>
      <c r="BB552">
        <v>20</v>
      </c>
    </row>
    <row r="553" spans="1:54" x14ac:dyDescent="0.25">
      <c r="A553">
        <v>2665</v>
      </c>
      <c r="B553" t="s">
        <v>1233</v>
      </c>
      <c r="C553">
        <v>50.21</v>
      </c>
      <c r="D553">
        <v>0.54</v>
      </c>
      <c r="E553">
        <v>1</v>
      </c>
      <c r="F553">
        <v>0.03</v>
      </c>
      <c r="G553">
        <v>9.34</v>
      </c>
      <c r="H553">
        <v>0.19</v>
      </c>
      <c r="I553">
        <v>0.28999999999999998</v>
      </c>
      <c r="J553">
        <v>0.03</v>
      </c>
      <c r="K553">
        <v>17.41</v>
      </c>
      <c r="L553">
        <v>0.2</v>
      </c>
      <c r="M553">
        <v>0.25</v>
      </c>
      <c r="N553">
        <v>0.03</v>
      </c>
      <c r="O553">
        <v>6.75</v>
      </c>
      <c r="P553">
        <v>0.17</v>
      </c>
      <c r="Q553">
        <v>5.29</v>
      </c>
      <c r="R553">
        <v>7.0000000000000007E-2</v>
      </c>
      <c r="S553">
        <v>3.26</v>
      </c>
      <c r="T553">
        <v>0.14000000000000001</v>
      </c>
      <c r="U553">
        <v>0.89</v>
      </c>
      <c r="V553">
        <v>0.04</v>
      </c>
      <c r="W553">
        <v>1.07</v>
      </c>
      <c r="X553">
        <v>7.0000000000000007E-2</v>
      </c>
      <c r="Y553">
        <v>3.02</v>
      </c>
      <c r="Z553">
        <v>0.1</v>
      </c>
      <c r="AA553">
        <v>0.98</v>
      </c>
      <c r="AB553">
        <v>0.03</v>
      </c>
      <c r="AW553">
        <v>661</v>
      </c>
      <c r="AX553">
        <v>35</v>
      </c>
      <c r="AY553">
        <v>947</v>
      </c>
      <c r="AZ553">
        <v>30</v>
      </c>
      <c r="BA553">
        <v>248</v>
      </c>
      <c r="BB553">
        <v>10</v>
      </c>
    </row>
    <row r="554" spans="1:54" x14ac:dyDescent="0.25">
      <c r="A554">
        <v>2665</v>
      </c>
      <c r="B554" t="s">
        <v>1234</v>
      </c>
      <c r="C554">
        <v>50.5</v>
      </c>
      <c r="D554">
        <v>0.54</v>
      </c>
      <c r="E554">
        <v>1</v>
      </c>
      <c r="F554">
        <v>0.03</v>
      </c>
      <c r="G554">
        <v>9.5299999999999994</v>
      </c>
      <c r="H554">
        <v>0.28999999999999998</v>
      </c>
      <c r="I554">
        <v>0.28000000000000003</v>
      </c>
      <c r="J554">
        <v>0.01</v>
      </c>
      <c r="K554">
        <v>18.03</v>
      </c>
      <c r="L554">
        <v>0.2</v>
      </c>
      <c r="M554">
        <v>0.25</v>
      </c>
      <c r="N554">
        <v>0.01</v>
      </c>
      <c r="O554">
        <v>6.16</v>
      </c>
      <c r="P554">
        <v>0.17</v>
      </c>
      <c r="Q554">
        <v>5.05</v>
      </c>
      <c r="R554">
        <v>0.06</v>
      </c>
      <c r="S554">
        <v>3.38</v>
      </c>
      <c r="T554">
        <v>0.14000000000000001</v>
      </c>
      <c r="U554">
        <v>0.94</v>
      </c>
      <c r="V554">
        <v>0.04</v>
      </c>
      <c r="W554">
        <v>1.1200000000000001</v>
      </c>
      <c r="X554">
        <v>7.0000000000000007E-2</v>
      </c>
      <c r="Y554">
        <v>2.63</v>
      </c>
      <c r="Z554">
        <v>0.05</v>
      </c>
      <c r="AA554">
        <v>0.88</v>
      </c>
      <c r="AB554">
        <v>0.02</v>
      </c>
      <c r="AW554">
        <v>658</v>
      </c>
      <c r="AX554">
        <v>35</v>
      </c>
      <c r="AY554">
        <v>938</v>
      </c>
      <c r="AZ554">
        <v>30</v>
      </c>
      <c r="BA554">
        <v>219</v>
      </c>
      <c r="BB554">
        <v>10</v>
      </c>
    </row>
    <row r="555" spans="1:54" x14ac:dyDescent="0.25">
      <c r="A555">
        <v>2666</v>
      </c>
      <c r="B555" t="s">
        <v>1235</v>
      </c>
      <c r="C555">
        <v>48.42</v>
      </c>
      <c r="D555">
        <v>0.54</v>
      </c>
      <c r="E555">
        <v>1</v>
      </c>
      <c r="F555">
        <v>0.03</v>
      </c>
      <c r="G555">
        <v>9.0299999999999994</v>
      </c>
      <c r="H555">
        <v>0.19</v>
      </c>
      <c r="I555">
        <v>0.3</v>
      </c>
      <c r="J555">
        <v>0.01</v>
      </c>
      <c r="K555">
        <v>18.739999999999998</v>
      </c>
      <c r="L555">
        <v>0.2</v>
      </c>
      <c r="M555">
        <v>0.25</v>
      </c>
      <c r="N555">
        <v>0.01</v>
      </c>
      <c r="O555">
        <v>6.72</v>
      </c>
      <c r="P555">
        <v>0.17</v>
      </c>
      <c r="Q555">
        <v>5.18</v>
      </c>
      <c r="R555">
        <v>0.06</v>
      </c>
      <c r="S555">
        <v>2.93</v>
      </c>
      <c r="T555">
        <v>0.14000000000000001</v>
      </c>
      <c r="U555">
        <v>0.93</v>
      </c>
      <c r="V555">
        <v>0.04</v>
      </c>
      <c r="W555">
        <v>1.25</v>
      </c>
      <c r="X555">
        <v>7.0000000000000007E-2</v>
      </c>
      <c r="Y555">
        <v>4.12</v>
      </c>
      <c r="Z555">
        <v>0.08</v>
      </c>
      <c r="AA555">
        <v>0.71</v>
      </c>
      <c r="AB555">
        <v>0.02</v>
      </c>
      <c r="AW555">
        <v>597</v>
      </c>
      <c r="AX555">
        <v>30</v>
      </c>
      <c r="AY555">
        <v>1746</v>
      </c>
      <c r="AZ555">
        <v>55</v>
      </c>
      <c r="BA555">
        <v>883</v>
      </c>
      <c r="BB555">
        <v>30</v>
      </c>
    </row>
    <row r="556" spans="1:54" x14ac:dyDescent="0.25">
      <c r="A556">
        <v>2684</v>
      </c>
      <c r="B556" t="s">
        <v>1236</v>
      </c>
      <c r="C556">
        <v>49.29</v>
      </c>
      <c r="D556">
        <v>0.54</v>
      </c>
      <c r="E556">
        <v>1.07</v>
      </c>
      <c r="F556">
        <v>0.05</v>
      </c>
      <c r="G556">
        <v>9.27</v>
      </c>
      <c r="H556">
        <v>0.28999999999999998</v>
      </c>
      <c r="I556">
        <v>0.28000000000000003</v>
      </c>
      <c r="J556">
        <v>0.03</v>
      </c>
      <c r="K556">
        <v>18.68</v>
      </c>
      <c r="L556">
        <v>0.2</v>
      </c>
      <c r="M556">
        <v>0.26</v>
      </c>
      <c r="N556">
        <v>0.03</v>
      </c>
      <c r="O556">
        <v>5.39</v>
      </c>
      <c r="P556">
        <v>0.17</v>
      </c>
      <c r="Q556">
        <v>6.1</v>
      </c>
      <c r="R556">
        <v>7.0000000000000007E-2</v>
      </c>
      <c r="S556">
        <v>3.51</v>
      </c>
      <c r="T556">
        <v>0.14000000000000001</v>
      </c>
      <c r="U556">
        <v>0.93</v>
      </c>
      <c r="V556">
        <v>0.04</v>
      </c>
      <c r="W556">
        <v>1.04</v>
      </c>
      <c r="X556">
        <v>7.0000000000000007E-2</v>
      </c>
      <c r="Y556">
        <v>2.99</v>
      </c>
      <c r="Z556">
        <v>0.1</v>
      </c>
      <c r="AA556">
        <v>0.91</v>
      </c>
      <c r="AB556">
        <v>0.03</v>
      </c>
      <c r="AW556">
        <v>716</v>
      </c>
      <c r="AX556">
        <v>40</v>
      </c>
      <c r="AY556">
        <v>1191</v>
      </c>
      <c r="AZ556">
        <v>40</v>
      </c>
      <c r="BA556">
        <v>70</v>
      </c>
      <c r="BB556">
        <v>10</v>
      </c>
    </row>
    <row r="557" spans="1:54" x14ac:dyDescent="0.25">
      <c r="A557">
        <v>2684</v>
      </c>
      <c r="B557" t="s">
        <v>1237</v>
      </c>
      <c r="C557">
        <v>46.64</v>
      </c>
      <c r="D557">
        <v>0.54</v>
      </c>
      <c r="E557">
        <v>1.07</v>
      </c>
      <c r="F557">
        <v>0.03</v>
      </c>
      <c r="G557">
        <v>9.2899999999999991</v>
      </c>
      <c r="H557">
        <v>0.19</v>
      </c>
      <c r="I557">
        <v>0.31</v>
      </c>
      <c r="J557">
        <v>0.01</v>
      </c>
      <c r="K557">
        <v>19.940000000000001</v>
      </c>
      <c r="L557">
        <v>0.26</v>
      </c>
      <c r="M557">
        <v>0.27</v>
      </c>
      <c r="N557">
        <v>0.01</v>
      </c>
      <c r="O557">
        <v>6.29</v>
      </c>
      <c r="P557">
        <v>0.17</v>
      </c>
      <c r="Q557">
        <v>5.88</v>
      </c>
      <c r="R557">
        <v>7.0000000000000007E-2</v>
      </c>
      <c r="S557">
        <v>3.39</v>
      </c>
      <c r="T557">
        <v>0.14000000000000001</v>
      </c>
      <c r="U557">
        <v>0.89</v>
      </c>
      <c r="V557">
        <v>0.04</v>
      </c>
      <c r="W557">
        <v>1.0900000000000001</v>
      </c>
      <c r="X557">
        <v>7.0000000000000007E-2</v>
      </c>
      <c r="Y557">
        <v>3.71</v>
      </c>
      <c r="Z557">
        <v>0.08</v>
      </c>
      <c r="AA557">
        <v>0.91</v>
      </c>
      <c r="AB557">
        <v>0.02</v>
      </c>
      <c r="AW557">
        <v>739</v>
      </c>
      <c r="AX557">
        <v>40</v>
      </c>
      <c r="AY557">
        <v>1598</v>
      </c>
      <c r="AZ557">
        <v>50</v>
      </c>
      <c r="BA557">
        <v>131</v>
      </c>
      <c r="BB557">
        <v>10</v>
      </c>
    </row>
    <row r="558" spans="1:54" x14ac:dyDescent="0.25">
      <c r="A558">
        <v>2696</v>
      </c>
      <c r="B558" t="s">
        <v>1238</v>
      </c>
      <c r="C558">
        <v>41.72</v>
      </c>
      <c r="D558">
        <v>0.43</v>
      </c>
      <c r="E558">
        <v>1</v>
      </c>
      <c r="F558">
        <v>0.03</v>
      </c>
      <c r="G558">
        <v>8.58</v>
      </c>
      <c r="H558">
        <v>0.19</v>
      </c>
      <c r="I558">
        <v>0.56000000000000005</v>
      </c>
      <c r="J558">
        <v>0.01</v>
      </c>
      <c r="K558">
        <v>21.05</v>
      </c>
      <c r="L558">
        <v>0.26</v>
      </c>
      <c r="M558">
        <v>0.46</v>
      </c>
      <c r="N558">
        <v>0.01</v>
      </c>
      <c r="O558">
        <v>9.91</v>
      </c>
      <c r="P558">
        <v>0.25</v>
      </c>
      <c r="Q558">
        <v>6.37</v>
      </c>
      <c r="R558">
        <v>7.0000000000000007E-2</v>
      </c>
      <c r="S558">
        <v>2.65</v>
      </c>
      <c r="T558">
        <v>0.14000000000000001</v>
      </c>
      <c r="U558">
        <v>0.39</v>
      </c>
      <c r="V558">
        <v>0.01</v>
      </c>
      <c r="W558">
        <v>0.86</v>
      </c>
      <c r="X558">
        <v>0.05</v>
      </c>
      <c r="Y558">
        <v>5.1100000000000003</v>
      </c>
      <c r="Z558">
        <v>0.08</v>
      </c>
      <c r="AA558">
        <v>1.18</v>
      </c>
      <c r="AB558">
        <v>0.02</v>
      </c>
      <c r="AW558">
        <v>593</v>
      </c>
      <c r="AX558">
        <v>30</v>
      </c>
      <c r="AY558">
        <v>465</v>
      </c>
      <c r="AZ558">
        <v>15</v>
      </c>
      <c r="BA558">
        <v>60</v>
      </c>
      <c r="BB558">
        <v>5</v>
      </c>
    </row>
    <row r="559" spans="1:54" x14ac:dyDescent="0.25">
      <c r="A559">
        <v>2699</v>
      </c>
      <c r="B559" t="s">
        <v>1239</v>
      </c>
      <c r="C559">
        <v>42.36</v>
      </c>
      <c r="D559">
        <v>0.43</v>
      </c>
      <c r="E559">
        <v>0.83</v>
      </c>
      <c r="F559">
        <v>0.03</v>
      </c>
      <c r="G559">
        <v>9.11</v>
      </c>
      <c r="H559">
        <v>0.19</v>
      </c>
      <c r="I559">
        <v>0.51</v>
      </c>
      <c r="J559">
        <v>0.03</v>
      </c>
      <c r="K559">
        <v>19.79</v>
      </c>
      <c r="L559">
        <v>0.26</v>
      </c>
      <c r="M559">
        <v>0.59</v>
      </c>
      <c r="N559">
        <v>0.03</v>
      </c>
      <c r="O559">
        <v>8.81</v>
      </c>
      <c r="P559">
        <v>0.25</v>
      </c>
      <c r="Q559">
        <v>6.51</v>
      </c>
      <c r="R559">
        <v>7.0000000000000007E-2</v>
      </c>
      <c r="S559">
        <v>3.18</v>
      </c>
      <c r="T559">
        <v>0.14000000000000001</v>
      </c>
      <c r="U559">
        <v>1</v>
      </c>
      <c r="V559">
        <v>0.04</v>
      </c>
      <c r="W559">
        <v>0.7</v>
      </c>
      <c r="X559">
        <v>0.05</v>
      </c>
      <c r="Y559">
        <v>5.48</v>
      </c>
      <c r="Z559">
        <v>0.12</v>
      </c>
      <c r="AA559">
        <v>0.97</v>
      </c>
      <c r="AB559">
        <v>0.03</v>
      </c>
      <c r="AW559">
        <v>298</v>
      </c>
      <c r="AX559">
        <v>25</v>
      </c>
      <c r="AY559">
        <v>522</v>
      </c>
      <c r="AZ559">
        <v>20</v>
      </c>
      <c r="BA559">
        <v>59</v>
      </c>
      <c r="BB559">
        <v>10</v>
      </c>
    </row>
    <row r="560" spans="1:54" x14ac:dyDescent="0.25">
      <c r="A560">
        <v>2699</v>
      </c>
      <c r="B560" t="s">
        <v>1240</v>
      </c>
      <c r="C560">
        <v>40.98</v>
      </c>
      <c r="D560">
        <v>0.54</v>
      </c>
      <c r="E560">
        <v>0.77</v>
      </c>
      <c r="F560">
        <v>0.03</v>
      </c>
      <c r="G560">
        <v>8.57</v>
      </c>
      <c r="H560">
        <v>0.19</v>
      </c>
      <c r="I560">
        <v>0.57999999999999996</v>
      </c>
      <c r="J560">
        <v>0.03</v>
      </c>
      <c r="K560">
        <v>20.43</v>
      </c>
      <c r="L560">
        <v>0.26</v>
      </c>
      <c r="M560">
        <v>0.66</v>
      </c>
      <c r="N560">
        <v>0.03</v>
      </c>
      <c r="O560">
        <v>9.0500000000000007</v>
      </c>
      <c r="P560">
        <v>0.25</v>
      </c>
      <c r="Q560">
        <v>6.93</v>
      </c>
      <c r="R560">
        <v>7.0000000000000007E-2</v>
      </c>
      <c r="S560">
        <v>3.02</v>
      </c>
      <c r="T560">
        <v>0.14000000000000001</v>
      </c>
      <c r="U560">
        <v>0.94</v>
      </c>
      <c r="V560">
        <v>0.04</v>
      </c>
      <c r="W560">
        <v>0.75</v>
      </c>
      <c r="X560">
        <v>0.05</v>
      </c>
      <c r="Y560">
        <v>6.27</v>
      </c>
      <c r="Z560">
        <v>0.12</v>
      </c>
      <c r="AA560">
        <v>0.95</v>
      </c>
      <c r="AB560">
        <v>0.03</v>
      </c>
      <c r="AW560">
        <v>301</v>
      </c>
      <c r="AX560">
        <v>25</v>
      </c>
      <c r="AY560">
        <v>513</v>
      </c>
      <c r="AZ560">
        <v>20</v>
      </c>
      <c r="BA560">
        <v>68</v>
      </c>
      <c r="BB560">
        <v>10</v>
      </c>
    </row>
    <row r="561" spans="1:54" x14ac:dyDescent="0.25">
      <c r="A561">
        <v>2699</v>
      </c>
      <c r="B561" t="s">
        <v>1241</v>
      </c>
      <c r="C561">
        <v>42.24</v>
      </c>
      <c r="D561">
        <v>0.43</v>
      </c>
      <c r="E561">
        <v>0.81</v>
      </c>
      <c r="F561">
        <v>0.03</v>
      </c>
      <c r="G561">
        <v>8.6300000000000008</v>
      </c>
      <c r="H561">
        <v>0.19</v>
      </c>
      <c r="I561">
        <v>0.51</v>
      </c>
      <c r="J561">
        <v>0.01</v>
      </c>
      <c r="K561">
        <v>19.309999999999999</v>
      </c>
      <c r="L561">
        <v>0.26</v>
      </c>
      <c r="M561">
        <v>0.52</v>
      </c>
      <c r="N561">
        <v>0.01</v>
      </c>
      <c r="O561">
        <v>8.84</v>
      </c>
      <c r="P561">
        <v>0.25</v>
      </c>
      <c r="Q561">
        <v>6.81</v>
      </c>
      <c r="R561">
        <v>7.0000000000000007E-2</v>
      </c>
      <c r="S561">
        <v>3.03</v>
      </c>
      <c r="T561">
        <v>0.14000000000000001</v>
      </c>
      <c r="U561">
        <v>0.94</v>
      </c>
      <c r="V561">
        <v>0.04</v>
      </c>
      <c r="W561">
        <v>0.77</v>
      </c>
      <c r="X561">
        <v>0.05</v>
      </c>
      <c r="Y561">
        <v>6.43</v>
      </c>
      <c r="Z561">
        <v>0.08</v>
      </c>
      <c r="AA561">
        <v>1.01</v>
      </c>
      <c r="AB561">
        <v>0.02</v>
      </c>
      <c r="AW561">
        <v>343</v>
      </c>
      <c r="AX561">
        <v>20</v>
      </c>
      <c r="AY561">
        <v>471</v>
      </c>
      <c r="AZ561">
        <v>15</v>
      </c>
      <c r="BA561">
        <v>48</v>
      </c>
      <c r="BB561">
        <v>5</v>
      </c>
    </row>
    <row r="562" spans="1:54" x14ac:dyDescent="0.25">
      <c r="A562">
        <v>2701</v>
      </c>
      <c r="B562" t="s">
        <v>1242</v>
      </c>
      <c r="C562">
        <v>40.98</v>
      </c>
      <c r="D562">
        <v>0.54</v>
      </c>
      <c r="E562">
        <v>0.9</v>
      </c>
      <c r="F562">
        <v>0.03</v>
      </c>
      <c r="G562">
        <v>8.82</v>
      </c>
      <c r="H562">
        <v>0.19</v>
      </c>
      <c r="I562">
        <v>0.46</v>
      </c>
      <c r="J562">
        <v>0.03</v>
      </c>
      <c r="K562">
        <v>20.53</v>
      </c>
      <c r="L562">
        <v>0.26</v>
      </c>
      <c r="M562">
        <v>0.51</v>
      </c>
      <c r="N562">
        <v>0.03</v>
      </c>
      <c r="O562">
        <v>8.7100000000000009</v>
      </c>
      <c r="P562">
        <v>0.25</v>
      </c>
      <c r="Q562">
        <v>6.34</v>
      </c>
      <c r="R562">
        <v>7.0000000000000007E-2</v>
      </c>
      <c r="S562">
        <v>3.15</v>
      </c>
      <c r="T562">
        <v>0.14000000000000001</v>
      </c>
      <c r="U562">
        <v>0.89</v>
      </c>
      <c r="V562">
        <v>0.04</v>
      </c>
      <c r="W562">
        <v>0.76</v>
      </c>
      <c r="X562">
        <v>0.05</v>
      </c>
      <c r="Y562">
        <v>6.49</v>
      </c>
      <c r="Z562">
        <v>0.12</v>
      </c>
      <c r="AA562">
        <v>1.33</v>
      </c>
      <c r="AB562">
        <v>0.04</v>
      </c>
      <c r="AW562">
        <v>345</v>
      </c>
      <c r="AX562">
        <v>30</v>
      </c>
      <c r="AY562">
        <v>329</v>
      </c>
      <c r="AZ562">
        <v>20</v>
      </c>
      <c r="BA562">
        <v>32</v>
      </c>
      <c r="BB562">
        <v>5</v>
      </c>
    </row>
    <row r="563" spans="1:54" x14ac:dyDescent="0.25">
      <c r="A563">
        <v>2701</v>
      </c>
      <c r="B563" t="s">
        <v>1243</v>
      </c>
      <c r="C563">
        <v>42.85</v>
      </c>
      <c r="D563">
        <v>0.54</v>
      </c>
      <c r="E563">
        <v>0.83</v>
      </c>
      <c r="F563">
        <v>0.03</v>
      </c>
      <c r="G563">
        <v>9</v>
      </c>
      <c r="H563">
        <v>0.19</v>
      </c>
      <c r="I563">
        <v>0.5</v>
      </c>
      <c r="J563">
        <v>0.01</v>
      </c>
      <c r="K563">
        <v>20.34</v>
      </c>
      <c r="L563">
        <v>0.26</v>
      </c>
      <c r="M563">
        <v>0.51</v>
      </c>
      <c r="N563">
        <v>0.01</v>
      </c>
      <c r="O563">
        <v>9.02</v>
      </c>
      <c r="P563">
        <v>0.25</v>
      </c>
      <c r="Q563">
        <v>5.75</v>
      </c>
      <c r="R563">
        <v>7.0000000000000007E-2</v>
      </c>
      <c r="S563">
        <v>3.29</v>
      </c>
      <c r="T563">
        <v>0.14000000000000001</v>
      </c>
      <c r="U563">
        <v>0.9</v>
      </c>
      <c r="V563">
        <v>0.04</v>
      </c>
      <c r="W563">
        <v>0.63</v>
      </c>
      <c r="X563">
        <v>0.05</v>
      </c>
      <c r="Y563">
        <v>4.9000000000000004</v>
      </c>
      <c r="Z563">
        <v>0.08</v>
      </c>
      <c r="AA563">
        <v>1.37</v>
      </c>
      <c r="AB563">
        <v>0.02</v>
      </c>
      <c r="AW563">
        <v>368</v>
      </c>
      <c r="AX563">
        <v>20</v>
      </c>
      <c r="AY563">
        <v>340</v>
      </c>
      <c r="AZ563">
        <v>15</v>
      </c>
      <c r="BA563">
        <v>85</v>
      </c>
      <c r="BB563">
        <v>5</v>
      </c>
    </row>
    <row r="564" spans="1:54" x14ac:dyDescent="0.25">
      <c r="A564">
        <v>2703</v>
      </c>
      <c r="B564" t="s">
        <v>1244</v>
      </c>
      <c r="C564">
        <v>41.96</v>
      </c>
      <c r="D564">
        <v>0.43</v>
      </c>
      <c r="E564">
        <v>0.82</v>
      </c>
      <c r="F564">
        <v>0.03</v>
      </c>
      <c r="G564">
        <v>7.94</v>
      </c>
      <c r="H564">
        <v>0.19</v>
      </c>
      <c r="I564">
        <v>0.56999999999999995</v>
      </c>
      <c r="J564">
        <v>0.03</v>
      </c>
      <c r="K564">
        <v>21.48</v>
      </c>
      <c r="L564">
        <v>0.26</v>
      </c>
      <c r="M564">
        <v>0.52</v>
      </c>
      <c r="N564">
        <v>0.01</v>
      </c>
      <c r="O564">
        <v>9.9600000000000009</v>
      </c>
      <c r="P564">
        <v>0.25</v>
      </c>
      <c r="Q564">
        <v>5.8</v>
      </c>
      <c r="R564">
        <v>7.0000000000000007E-2</v>
      </c>
      <c r="S564">
        <v>2.87</v>
      </c>
      <c r="T564">
        <v>0.14000000000000001</v>
      </c>
      <c r="U564">
        <v>0.83</v>
      </c>
      <c r="V564">
        <v>0.04</v>
      </c>
      <c r="W564">
        <v>0.68</v>
      </c>
      <c r="X564">
        <v>0.05</v>
      </c>
      <c r="Y564">
        <v>4.8499999999999996</v>
      </c>
      <c r="Z564">
        <v>0.1</v>
      </c>
      <c r="AA564">
        <v>1.6</v>
      </c>
      <c r="AB564">
        <v>0.03</v>
      </c>
      <c r="AW564">
        <v>385</v>
      </c>
      <c r="AX564">
        <v>20</v>
      </c>
      <c r="AY564">
        <v>338</v>
      </c>
      <c r="AZ564">
        <v>15</v>
      </c>
      <c r="BA564">
        <v>50</v>
      </c>
      <c r="BB564">
        <v>5</v>
      </c>
    </row>
    <row r="565" spans="1:54" x14ac:dyDescent="0.25">
      <c r="A565">
        <v>2703</v>
      </c>
      <c r="B565" t="s">
        <v>1245</v>
      </c>
      <c r="C565">
        <v>42.59</v>
      </c>
      <c r="D565">
        <v>0.43</v>
      </c>
      <c r="E565">
        <v>0.77</v>
      </c>
      <c r="F565">
        <v>0.03</v>
      </c>
      <c r="G565">
        <v>8.24</v>
      </c>
      <c r="H565">
        <v>0.19</v>
      </c>
      <c r="I565">
        <v>0.5</v>
      </c>
      <c r="J565">
        <v>0.01</v>
      </c>
      <c r="K565">
        <v>20.84</v>
      </c>
      <c r="L565">
        <v>0.26</v>
      </c>
      <c r="M565">
        <v>0.48</v>
      </c>
      <c r="N565">
        <v>0.01</v>
      </c>
      <c r="O565">
        <v>9.76</v>
      </c>
      <c r="P565">
        <v>0.25</v>
      </c>
      <c r="Q565">
        <v>5.9</v>
      </c>
      <c r="R565">
        <v>7.0000000000000007E-2</v>
      </c>
      <c r="S565">
        <v>3</v>
      </c>
      <c r="T565">
        <v>0.14000000000000001</v>
      </c>
      <c r="U565">
        <v>0.86</v>
      </c>
      <c r="V565">
        <v>0.04</v>
      </c>
      <c r="W565">
        <v>0.68</v>
      </c>
      <c r="X565">
        <v>0.05</v>
      </c>
      <c r="Y565">
        <v>4.5999999999999996</v>
      </c>
      <c r="Z565">
        <v>0.08</v>
      </c>
      <c r="AA565">
        <v>1.67</v>
      </c>
      <c r="AB565">
        <v>0.03</v>
      </c>
      <c r="AW565">
        <v>406</v>
      </c>
      <c r="AX565">
        <v>25</v>
      </c>
      <c r="AY565">
        <v>274</v>
      </c>
      <c r="AZ565">
        <v>15</v>
      </c>
      <c r="BA565">
        <v>54</v>
      </c>
      <c r="BB565">
        <v>5</v>
      </c>
    </row>
    <row r="566" spans="1:54" x14ac:dyDescent="0.25">
      <c r="A566">
        <v>2706</v>
      </c>
      <c r="B566" t="s">
        <v>1246</v>
      </c>
      <c r="C566">
        <v>39.18</v>
      </c>
      <c r="D566">
        <v>0.43</v>
      </c>
      <c r="E566">
        <v>0.84</v>
      </c>
      <c r="F566">
        <v>0.03</v>
      </c>
      <c r="G566">
        <v>8.2200000000000006</v>
      </c>
      <c r="H566">
        <v>0.19</v>
      </c>
      <c r="I566">
        <v>0.55000000000000004</v>
      </c>
      <c r="J566">
        <v>0.01</v>
      </c>
      <c r="K566">
        <v>21.58</v>
      </c>
      <c r="L566">
        <v>0.26</v>
      </c>
      <c r="M566">
        <v>0.56000000000000005</v>
      </c>
      <c r="N566">
        <v>0.01</v>
      </c>
      <c r="O566">
        <v>9.25</v>
      </c>
      <c r="P566">
        <v>0.25</v>
      </c>
      <c r="Q566">
        <v>6.36</v>
      </c>
      <c r="R566">
        <v>7.0000000000000007E-2</v>
      </c>
      <c r="S566">
        <v>3.08</v>
      </c>
      <c r="T566">
        <v>0.14000000000000001</v>
      </c>
      <c r="U566">
        <v>0.84</v>
      </c>
      <c r="V566">
        <v>0.04</v>
      </c>
      <c r="W566">
        <v>0.64</v>
      </c>
      <c r="X566">
        <v>0.05</v>
      </c>
      <c r="Y566">
        <v>7.18</v>
      </c>
      <c r="Z566">
        <v>0.08</v>
      </c>
      <c r="AA566">
        <v>1.61</v>
      </c>
      <c r="AB566">
        <v>0.02</v>
      </c>
      <c r="AW566">
        <v>357</v>
      </c>
      <c r="AX566">
        <v>20</v>
      </c>
      <c r="AY566">
        <v>331</v>
      </c>
      <c r="AZ566">
        <v>10</v>
      </c>
      <c r="BA566">
        <v>93</v>
      </c>
      <c r="BB566">
        <v>5</v>
      </c>
    </row>
    <row r="572" spans="1:54" x14ac:dyDescent="0.25">
      <c r="C572" s="8"/>
    </row>
    <row r="573" spans="1:54" x14ac:dyDescent="0.25">
      <c r="C573" s="8"/>
    </row>
  </sheetData>
  <mergeCells count="1">
    <mergeCell ref="AF7:AJ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EFD01-F249-43BA-BF1D-4582E546B4DF}">
  <dimension ref="A1:AQ378"/>
  <sheetViews>
    <sheetView topLeftCell="A5" zoomScale="85" zoomScaleNormal="85" workbookViewId="0">
      <selection activeCell="AJ2" sqref="AJ2:AL5"/>
    </sheetView>
  </sheetViews>
  <sheetFormatPr defaultRowHeight="15" x14ac:dyDescent="0.25"/>
  <cols>
    <col min="3" max="3" width="30.85546875" bestFit="1" customWidth="1"/>
    <col min="4" max="4" width="20.140625" bestFit="1" customWidth="1"/>
    <col min="5" max="5" width="11.7109375" bestFit="1" customWidth="1"/>
    <col min="6" max="12" width="10.5703125" bestFit="1" customWidth="1"/>
    <col min="13" max="13" width="11.5703125" bestFit="1" customWidth="1"/>
    <col min="14" max="16" width="10.5703125" bestFit="1" customWidth="1"/>
    <col min="17" max="17" width="11.5703125" bestFit="1" customWidth="1"/>
    <col min="18" max="26" width="10.5703125" bestFit="1" customWidth="1"/>
    <col min="27" max="27" width="11.5703125" bestFit="1" customWidth="1"/>
    <col min="28" max="30" width="10.5703125" bestFit="1" customWidth="1"/>
  </cols>
  <sheetData>
    <row r="1" spans="1:43" x14ac:dyDescent="0.25">
      <c r="A1" t="s">
        <v>90</v>
      </c>
      <c r="B1" s="2" t="s">
        <v>91</v>
      </c>
      <c r="J1" s="9"/>
    </row>
    <row r="2" spans="1:43" x14ac:dyDescent="0.25">
      <c r="A2" s="27"/>
      <c r="B2" s="27"/>
      <c r="D2" t="s">
        <v>1292</v>
      </c>
      <c r="J2" s="9"/>
      <c r="AN2" s="1"/>
      <c r="AO2" s="1"/>
      <c r="AP2" s="1"/>
      <c r="AQ2" s="1"/>
    </row>
    <row r="3" spans="1:43" x14ac:dyDescent="0.25">
      <c r="A3" s="23"/>
      <c r="B3" s="23"/>
      <c r="C3" t="s">
        <v>1284</v>
      </c>
      <c r="D3" t="s">
        <v>1289</v>
      </c>
      <c r="E3">
        <v>42.962835820895528</v>
      </c>
      <c r="F3">
        <v>3.1624955651999809</v>
      </c>
      <c r="G3">
        <v>0.92402985074626887</v>
      </c>
      <c r="H3">
        <v>0.22328171973576055</v>
      </c>
      <c r="I3">
        <v>8.3734328358208945</v>
      </c>
      <c r="J3">
        <v>1.2618367471591694</v>
      </c>
      <c r="K3">
        <v>0.37283582089552247</v>
      </c>
      <c r="L3">
        <v>9.3708218490020423E-2</v>
      </c>
      <c r="M3">
        <v>22.821791044776127</v>
      </c>
      <c r="N3">
        <v>5.4113284442393264</v>
      </c>
      <c r="O3">
        <v>0.35940298507462681</v>
      </c>
      <c r="P3">
        <v>0.10741988694914222</v>
      </c>
      <c r="Q3">
        <v>7.6713432835820896</v>
      </c>
      <c r="R3">
        <v>2.4512927297729128</v>
      </c>
      <c r="S3">
        <v>6.2952238805970149</v>
      </c>
      <c r="T3">
        <v>1.0731479581246637</v>
      </c>
      <c r="U3">
        <v>2.0880597014925373</v>
      </c>
      <c r="V3">
        <v>0.30236060552867472</v>
      </c>
      <c r="W3">
        <v>0.43134328358208945</v>
      </c>
      <c r="X3">
        <v>8.9897172274740325E-2</v>
      </c>
      <c r="Y3">
        <v>0.88358208955223883</v>
      </c>
      <c r="Z3">
        <v>0.19905611735431128</v>
      </c>
      <c r="AA3">
        <v>5.9929850746268656</v>
      </c>
      <c r="AB3">
        <v>2.1335047385630106</v>
      </c>
      <c r="AC3">
        <v>0.67134328358208972</v>
      </c>
      <c r="AD3">
        <v>0.11021872912377637</v>
      </c>
      <c r="AN3" s="23"/>
      <c r="AO3" s="23"/>
      <c r="AP3" s="23"/>
      <c r="AQ3" s="23"/>
    </row>
    <row r="4" spans="1:43" x14ac:dyDescent="0.25">
      <c r="A4" s="23"/>
      <c r="B4" s="23"/>
      <c r="C4" t="s">
        <v>1285</v>
      </c>
      <c r="D4" t="s">
        <v>1291</v>
      </c>
      <c r="E4">
        <v>42.289306930693087</v>
      </c>
      <c r="F4">
        <v>6.0288866869120898</v>
      </c>
      <c r="G4">
        <v>0.87425742574257459</v>
      </c>
      <c r="H4">
        <v>0.17768571033780994</v>
      </c>
      <c r="I4">
        <v>8.372772277227714</v>
      </c>
      <c r="J4">
        <v>2.1348994356382844</v>
      </c>
      <c r="K4">
        <v>0.23458745874587464</v>
      </c>
      <c r="L4">
        <v>8.5112380566166185E-2</v>
      </c>
      <c r="M4">
        <v>16.361320132013194</v>
      </c>
      <c r="N4">
        <v>3.0534188155904705</v>
      </c>
      <c r="O4">
        <v>0.39145214521452143</v>
      </c>
      <c r="P4">
        <v>0.39800978829233419</v>
      </c>
      <c r="Q4">
        <v>7.6368976897689782</v>
      </c>
      <c r="R4">
        <v>1.9430868149139919</v>
      </c>
      <c r="S4">
        <v>6.2864356435643582</v>
      </c>
      <c r="T4">
        <v>2.3983048307589794</v>
      </c>
      <c r="U4">
        <v>2.067986798679867</v>
      </c>
      <c r="V4">
        <v>0.38950075001498069</v>
      </c>
      <c r="W4">
        <v>0.48095709570957046</v>
      </c>
      <c r="X4">
        <v>0.12729772218565813</v>
      </c>
      <c r="Y4">
        <v>1.068712871287129</v>
      </c>
      <c r="Z4">
        <v>0.27052437441321453</v>
      </c>
      <c r="AA4">
        <v>12.777293729372943</v>
      </c>
      <c r="AB4">
        <v>7.7892372640175145</v>
      </c>
      <c r="AC4">
        <v>1.0222442244224426</v>
      </c>
      <c r="AD4">
        <v>0.45869550825793132</v>
      </c>
      <c r="AN4" s="23"/>
      <c r="AO4" s="23"/>
      <c r="AP4" s="23"/>
      <c r="AQ4" s="23"/>
    </row>
    <row r="5" spans="1:43" x14ac:dyDescent="0.25">
      <c r="C5" s="3"/>
      <c r="D5" s="3"/>
      <c r="E5" s="4" t="s">
        <v>53</v>
      </c>
      <c r="F5" s="4" t="s">
        <v>92</v>
      </c>
      <c r="G5" s="4" t="s">
        <v>54</v>
      </c>
      <c r="H5" s="4" t="s">
        <v>92</v>
      </c>
      <c r="I5" s="4" t="s">
        <v>55</v>
      </c>
      <c r="J5" s="4" t="s">
        <v>92</v>
      </c>
      <c r="K5" s="4" t="s">
        <v>56</v>
      </c>
      <c r="L5" s="4" t="s">
        <v>92</v>
      </c>
      <c r="M5" s="4" t="s">
        <v>82</v>
      </c>
      <c r="N5" s="4" t="s">
        <v>92</v>
      </c>
      <c r="O5" s="4" t="s">
        <v>57</v>
      </c>
      <c r="P5" s="4" t="s">
        <v>92</v>
      </c>
      <c r="Q5" s="4" t="s">
        <v>58</v>
      </c>
      <c r="R5" s="4" t="s">
        <v>92</v>
      </c>
      <c r="S5" s="4" t="s">
        <v>59</v>
      </c>
      <c r="T5" s="4" t="s">
        <v>92</v>
      </c>
      <c r="U5" s="4" t="s">
        <v>60</v>
      </c>
      <c r="V5" s="4" t="s">
        <v>92</v>
      </c>
      <c r="W5" s="4" t="s">
        <v>61</v>
      </c>
      <c r="X5" s="4" t="s">
        <v>92</v>
      </c>
      <c r="Y5" s="4" t="s">
        <v>62</v>
      </c>
      <c r="Z5" s="4" t="s">
        <v>92</v>
      </c>
      <c r="AA5" s="4" t="s">
        <v>63</v>
      </c>
      <c r="AB5" s="4" t="s">
        <v>92</v>
      </c>
      <c r="AC5" s="4" t="s">
        <v>64</v>
      </c>
      <c r="AD5" s="4" t="s">
        <v>92</v>
      </c>
      <c r="AJ5" s="5"/>
      <c r="AN5" s="1"/>
      <c r="AO5" s="1"/>
      <c r="AP5" s="1"/>
      <c r="AQ5" s="1"/>
    </row>
    <row r="6" spans="1:43" x14ac:dyDescent="0.25">
      <c r="A6">
        <f>SUBTOTAL(2,A11:A363)</f>
        <v>353</v>
      </c>
      <c r="D6" s="16"/>
      <c r="F6" s="16"/>
      <c r="H6" s="16"/>
      <c r="K6" s="16"/>
    </row>
    <row r="7" spans="1:43" s="10" customFormat="1" ht="15.75" thickBot="1" x14ac:dyDescent="0.3">
      <c r="A7" s="4" t="s">
        <v>0</v>
      </c>
      <c r="B7" s="4" t="s">
        <v>2</v>
      </c>
      <c r="C7" s="4" t="s">
        <v>71</v>
      </c>
      <c r="D7" s="4" t="s">
        <v>98</v>
      </c>
      <c r="E7" s="4" t="s">
        <v>53</v>
      </c>
      <c r="F7" s="4" t="s">
        <v>298</v>
      </c>
      <c r="G7" s="4" t="s">
        <v>54</v>
      </c>
      <c r="H7" s="4" t="s">
        <v>100</v>
      </c>
      <c r="I7" s="4" t="s">
        <v>55</v>
      </c>
      <c r="J7" s="4" t="s">
        <v>101</v>
      </c>
      <c r="K7" s="4" t="s">
        <v>56</v>
      </c>
      <c r="L7" s="4" t="s">
        <v>102</v>
      </c>
      <c r="M7" s="4" t="s">
        <v>82</v>
      </c>
      <c r="N7" s="4" t="s">
        <v>103</v>
      </c>
      <c r="O7" s="4" t="s">
        <v>57</v>
      </c>
      <c r="P7" s="4" t="s">
        <v>104</v>
      </c>
      <c r="Q7" s="4" t="s">
        <v>58</v>
      </c>
      <c r="R7" s="4" t="s">
        <v>105</v>
      </c>
      <c r="S7" s="4" t="s">
        <v>59</v>
      </c>
      <c r="T7" s="4" t="s">
        <v>106</v>
      </c>
      <c r="U7" s="4" t="s">
        <v>60</v>
      </c>
      <c r="V7" s="4" t="s">
        <v>107</v>
      </c>
      <c r="W7" s="4" t="s">
        <v>61</v>
      </c>
      <c r="X7" s="4" t="s">
        <v>108</v>
      </c>
      <c r="Y7" s="4" t="s">
        <v>62</v>
      </c>
      <c r="Z7" s="4" t="s">
        <v>109</v>
      </c>
      <c r="AA7" s="4" t="s">
        <v>63</v>
      </c>
      <c r="AB7" s="4" t="s">
        <v>110</v>
      </c>
      <c r="AC7" s="4" t="s">
        <v>64</v>
      </c>
      <c r="AD7" s="4" t="s">
        <v>111</v>
      </c>
      <c r="AE7" s="4" t="s">
        <v>112</v>
      </c>
      <c r="AF7" s="4" t="s">
        <v>113</v>
      </c>
      <c r="AG7" s="4" t="s">
        <v>114</v>
      </c>
      <c r="AH7" s="4" t="s">
        <v>115</v>
      </c>
      <c r="AI7" s="4" t="s">
        <v>116</v>
      </c>
      <c r="AJ7" s="4" t="s">
        <v>117</v>
      </c>
    </row>
    <row r="8" spans="1:43" s="13" customFormat="1" x14ac:dyDescent="0.25">
      <c r="A8" s="11">
        <v>1</v>
      </c>
      <c r="B8" s="12" t="s">
        <v>4</v>
      </c>
      <c r="C8" s="12" t="s">
        <v>299</v>
      </c>
      <c r="D8" s="12"/>
      <c r="E8" s="12">
        <v>39.6</v>
      </c>
      <c r="F8" s="12">
        <v>0.49</v>
      </c>
      <c r="G8" s="12">
        <v>0.74</v>
      </c>
      <c r="H8" s="12">
        <v>0.12</v>
      </c>
      <c r="I8" s="12">
        <v>7.46</v>
      </c>
      <c r="J8" s="12">
        <v>0.18</v>
      </c>
      <c r="K8" s="12">
        <v>0.19</v>
      </c>
      <c r="L8" s="12">
        <v>0.04</v>
      </c>
      <c r="M8" s="12">
        <v>15</v>
      </c>
      <c r="N8" s="12">
        <v>0.14000000000000001</v>
      </c>
      <c r="O8" s="12">
        <v>0.28000000000000003</v>
      </c>
      <c r="P8" s="12">
        <v>0.04</v>
      </c>
      <c r="Q8" s="12">
        <v>8.2899999999999991</v>
      </c>
      <c r="R8" s="12">
        <v>0.21</v>
      </c>
      <c r="S8" s="12">
        <v>5.03</v>
      </c>
      <c r="T8" s="12">
        <v>7.0000000000000007E-2</v>
      </c>
      <c r="U8" s="12">
        <v>1.56</v>
      </c>
      <c r="V8" s="12">
        <v>0.88</v>
      </c>
      <c r="W8" s="12">
        <v>0.56999999999999995</v>
      </c>
      <c r="X8" s="12">
        <v>7.0000000000000007E-2</v>
      </c>
      <c r="Y8" s="12">
        <v>0.97</v>
      </c>
      <c r="Z8" s="12">
        <v>0.19</v>
      </c>
      <c r="AA8" s="12">
        <v>19.420000000000002</v>
      </c>
      <c r="AB8" s="12">
        <v>0.28000000000000003</v>
      </c>
      <c r="AC8" s="12">
        <v>0.81</v>
      </c>
      <c r="AD8" s="12">
        <v>0.03</v>
      </c>
      <c r="AE8" s="12">
        <v>597</v>
      </c>
      <c r="AF8" s="12">
        <v>72</v>
      </c>
      <c r="AG8" s="12">
        <v>569</v>
      </c>
      <c r="AH8" s="12">
        <v>34</v>
      </c>
      <c r="AI8" s="12">
        <v>7</v>
      </c>
      <c r="AJ8" s="12">
        <v>21</v>
      </c>
    </row>
    <row r="9" spans="1:43" x14ac:dyDescent="0.25">
      <c r="A9" s="7">
        <v>4</v>
      </c>
      <c r="B9" s="3" t="s">
        <v>4</v>
      </c>
      <c r="C9" s="3" t="s">
        <v>300</v>
      </c>
      <c r="D9" s="3"/>
      <c r="E9" s="3">
        <v>43.9</v>
      </c>
      <c r="F9" s="3">
        <v>0.76</v>
      </c>
      <c r="G9" s="3">
        <v>0.94</v>
      </c>
      <c r="H9" s="3">
        <v>0.24</v>
      </c>
      <c r="I9" s="3">
        <v>8.75</v>
      </c>
      <c r="J9" s="3">
        <v>0.35</v>
      </c>
      <c r="K9" s="3">
        <v>0.28999999999999998</v>
      </c>
      <c r="L9" s="3">
        <v>0.06</v>
      </c>
      <c r="M9" s="3">
        <v>15.6</v>
      </c>
      <c r="N9" s="3">
        <v>0.21</v>
      </c>
      <c r="O9" s="3">
        <v>0.33</v>
      </c>
      <c r="P9" s="3">
        <v>0.08</v>
      </c>
      <c r="Q9" s="3">
        <v>8.1</v>
      </c>
      <c r="R9" s="3">
        <v>0.35</v>
      </c>
      <c r="S9" s="3">
        <v>5.7</v>
      </c>
      <c r="T9" s="3">
        <v>0.11</v>
      </c>
      <c r="U9" s="3">
        <v>2.4</v>
      </c>
      <c r="V9" s="3">
        <v>1.36</v>
      </c>
      <c r="W9" s="3">
        <v>0.55000000000000004</v>
      </c>
      <c r="X9" s="3">
        <v>0.08</v>
      </c>
      <c r="Y9" s="3">
        <v>0.97</v>
      </c>
      <c r="Z9" s="3">
        <v>0.3</v>
      </c>
      <c r="AA9" s="3">
        <v>11.42</v>
      </c>
      <c r="AB9" s="3">
        <v>0.31</v>
      </c>
      <c r="AC9" s="3">
        <v>0.84</v>
      </c>
      <c r="AD9" s="3">
        <v>0.05</v>
      </c>
      <c r="AE9" s="3">
        <v>625</v>
      </c>
      <c r="AF9" s="3">
        <v>109</v>
      </c>
      <c r="AG9" s="3">
        <v>292</v>
      </c>
      <c r="AH9" s="3">
        <v>49</v>
      </c>
      <c r="AI9" s="3">
        <v>346</v>
      </c>
      <c r="AJ9" s="3">
        <v>39</v>
      </c>
    </row>
    <row r="10" spans="1:43" x14ac:dyDescent="0.25">
      <c r="A10" s="7">
        <v>4</v>
      </c>
      <c r="B10" s="3" t="s">
        <v>4</v>
      </c>
      <c r="C10" s="3" t="s">
        <v>301</v>
      </c>
      <c r="D10" s="3"/>
      <c r="E10" s="3">
        <v>41.4</v>
      </c>
      <c r="F10" s="3">
        <v>0.65</v>
      </c>
      <c r="G10" s="3">
        <v>0.84</v>
      </c>
      <c r="H10" s="3">
        <v>0.22</v>
      </c>
      <c r="I10" s="3">
        <v>8.34</v>
      </c>
      <c r="J10" s="3">
        <v>0.27</v>
      </c>
      <c r="K10" s="3">
        <v>0.16</v>
      </c>
      <c r="L10" s="3">
        <v>0.06</v>
      </c>
      <c r="M10" s="3">
        <v>15.1</v>
      </c>
      <c r="N10" s="3">
        <v>0.21</v>
      </c>
      <c r="O10" s="3">
        <v>0.27</v>
      </c>
      <c r="P10" s="3">
        <v>7.0000000000000007E-2</v>
      </c>
      <c r="Q10" s="3">
        <v>8.41</v>
      </c>
      <c r="R10" s="3">
        <v>0.31</v>
      </c>
      <c r="S10" s="3">
        <v>5.29</v>
      </c>
      <c r="T10" s="3">
        <v>0.12</v>
      </c>
      <c r="U10" s="3">
        <v>2.29</v>
      </c>
      <c r="V10" s="3">
        <v>1.06</v>
      </c>
      <c r="W10" s="3">
        <v>0.61</v>
      </c>
      <c r="X10" s="3">
        <v>0.08</v>
      </c>
      <c r="Y10" s="3">
        <v>1.01</v>
      </c>
      <c r="Z10" s="3">
        <v>0.25</v>
      </c>
      <c r="AA10" s="3">
        <v>15.19</v>
      </c>
      <c r="AB10" s="3">
        <v>0.37</v>
      </c>
      <c r="AC10" s="3">
        <v>0.93</v>
      </c>
      <c r="AD10" s="3">
        <v>0.06</v>
      </c>
      <c r="AE10" s="3">
        <v>553</v>
      </c>
      <c r="AF10" s="3">
        <v>119</v>
      </c>
      <c r="AG10" s="3">
        <v>460</v>
      </c>
      <c r="AH10" s="3">
        <v>63</v>
      </c>
      <c r="AI10" s="3">
        <v>177</v>
      </c>
      <c r="AJ10" s="3">
        <v>36</v>
      </c>
    </row>
    <row r="11" spans="1:43" x14ac:dyDescent="0.25">
      <c r="A11" s="7">
        <v>11</v>
      </c>
      <c r="B11" s="3" t="s">
        <v>3</v>
      </c>
      <c r="C11" s="3" t="s">
        <v>302</v>
      </c>
      <c r="D11" s="3"/>
      <c r="E11" s="3">
        <v>46.3</v>
      </c>
      <c r="F11" s="3">
        <v>0.47</v>
      </c>
      <c r="G11" s="3">
        <v>1.04</v>
      </c>
      <c r="H11" s="3">
        <v>7.0000000000000007E-2</v>
      </c>
      <c r="I11" s="3">
        <v>9.26</v>
      </c>
      <c r="J11" s="3">
        <v>0.13</v>
      </c>
      <c r="K11" s="3">
        <v>0.45</v>
      </c>
      <c r="L11" s="3">
        <v>0.04</v>
      </c>
      <c r="M11" s="3">
        <v>18.8</v>
      </c>
      <c r="N11" s="3">
        <v>0.13</v>
      </c>
      <c r="O11" s="3">
        <v>0.37</v>
      </c>
      <c r="P11" s="3">
        <v>0.01</v>
      </c>
      <c r="Q11" s="3">
        <v>7.58</v>
      </c>
      <c r="R11" s="3">
        <v>0.12</v>
      </c>
      <c r="S11" s="3">
        <v>7.31</v>
      </c>
      <c r="T11" s="3">
        <v>0.06</v>
      </c>
      <c r="U11" s="3">
        <v>1.83</v>
      </c>
      <c r="V11" s="3">
        <v>0.28000000000000003</v>
      </c>
      <c r="W11" s="3">
        <v>0.47</v>
      </c>
      <c r="X11" s="3">
        <v>0.06</v>
      </c>
      <c r="Y11" s="3">
        <v>0.83</v>
      </c>
      <c r="Z11" s="3">
        <v>0.08</v>
      </c>
      <c r="AA11" s="3">
        <v>4.99</v>
      </c>
      <c r="AB11" s="3">
        <v>0.08</v>
      </c>
      <c r="AC11" s="3">
        <v>0.63</v>
      </c>
      <c r="AD11" s="3">
        <v>0.02</v>
      </c>
      <c r="AE11" s="3">
        <v>423</v>
      </c>
      <c r="AF11" s="3">
        <v>57</v>
      </c>
      <c r="AG11" s="3">
        <v>241</v>
      </c>
      <c r="AH11" s="3">
        <v>20</v>
      </c>
      <c r="AI11" s="3">
        <v>32</v>
      </c>
      <c r="AJ11" s="3">
        <v>17</v>
      </c>
    </row>
    <row r="12" spans="1:43" x14ac:dyDescent="0.25">
      <c r="A12" s="7">
        <v>14</v>
      </c>
      <c r="B12" s="3" t="s">
        <v>4</v>
      </c>
      <c r="C12" s="3" t="s">
        <v>303</v>
      </c>
      <c r="D12" s="3"/>
      <c r="E12" s="3">
        <v>43.2</v>
      </c>
      <c r="F12" s="3">
        <v>0.95</v>
      </c>
      <c r="G12" s="3">
        <v>0.92</v>
      </c>
      <c r="H12" s="3">
        <v>0.24</v>
      </c>
      <c r="I12" s="3">
        <v>7.89</v>
      </c>
      <c r="J12" s="3">
        <v>0.48</v>
      </c>
      <c r="K12" s="3">
        <v>0.24</v>
      </c>
      <c r="L12" s="3">
        <v>7.0000000000000007E-2</v>
      </c>
      <c r="M12" s="3">
        <v>16.5</v>
      </c>
      <c r="N12" s="3">
        <v>0.23</v>
      </c>
      <c r="O12" s="3">
        <v>0.24</v>
      </c>
      <c r="P12" s="3">
        <v>0.11</v>
      </c>
      <c r="Q12" s="3">
        <v>8.0399999999999991</v>
      </c>
      <c r="R12" s="3">
        <v>0.49</v>
      </c>
      <c r="S12" s="3">
        <v>6.34</v>
      </c>
      <c r="T12" s="3">
        <v>0.14000000000000001</v>
      </c>
      <c r="U12" s="3">
        <v>0.88</v>
      </c>
      <c r="V12" s="3">
        <v>2.77</v>
      </c>
      <c r="W12" s="3">
        <v>0.53</v>
      </c>
      <c r="X12" s="3">
        <v>0.09</v>
      </c>
      <c r="Y12" s="3">
        <v>0.8</v>
      </c>
      <c r="Z12" s="3">
        <v>0.49</v>
      </c>
      <c r="AA12" s="3">
        <v>13.41</v>
      </c>
      <c r="AB12" s="3">
        <v>0.36</v>
      </c>
      <c r="AC12" s="3">
        <v>0.83</v>
      </c>
      <c r="AD12" s="3">
        <v>7.0000000000000007E-2</v>
      </c>
      <c r="AE12" s="3">
        <v>652</v>
      </c>
      <c r="AF12" s="3">
        <v>127</v>
      </c>
      <c r="AG12" s="3">
        <v>439</v>
      </c>
      <c r="AH12" s="3">
        <v>62</v>
      </c>
      <c r="AI12" s="3">
        <v>139</v>
      </c>
      <c r="AJ12" s="3">
        <v>35</v>
      </c>
    </row>
    <row r="13" spans="1:43" x14ac:dyDescent="0.25">
      <c r="A13" s="7">
        <v>23</v>
      </c>
      <c r="B13" s="3" t="s">
        <v>3</v>
      </c>
      <c r="C13" s="3" t="s">
        <v>304</v>
      </c>
      <c r="D13" s="3"/>
      <c r="E13" s="3">
        <v>42.7</v>
      </c>
      <c r="F13" s="3">
        <v>0.45</v>
      </c>
      <c r="G13" s="3">
        <v>0.78</v>
      </c>
      <c r="H13" s="3">
        <v>7.0000000000000007E-2</v>
      </c>
      <c r="I13" s="3">
        <v>8.59</v>
      </c>
      <c r="J13" s="3">
        <v>0.13</v>
      </c>
      <c r="K13" s="3">
        <v>0.3</v>
      </c>
      <c r="L13" s="3">
        <v>0.04</v>
      </c>
      <c r="M13" s="3">
        <v>24.8</v>
      </c>
      <c r="N13" s="3">
        <v>0.17</v>
      </c>
      <c r="O13" s="3">
        <v>0.31</v>
      </c>
      <c r="P13" s="3">
        <v>0.01</v>
      </c>
      <c r="Q13" s="3">
        <v>7.5</v>
      </c>
      <c r="R13" s="3">
        <v>0.12</v>
      </c>
      <c r="S13" s="3">
        <v>6.13</v>
      </c>
      <c r="T13" s="3">
        <v>0.06</v>
      </c>
      <c r="U13" s="3">
        <v>2.12</v>
      </c>
      <c r="V13" s="3">
        <v>0.26</v>
      </c>
      <c r="W13" s="3">
        <v>0.43</v>
      </c>
      <c r="X13" s="3">
        <v>0.06</v>
      </c>
      <c r="Y13" s="3">
        <v>0.81</v>
      </c>
      <c r="Z13" s="3">
        <v>0.08</v>
      </c>
      <c r="AA13" s="3">
        <v>4.7699999999999996</v>
      </c>
      <c r="AB13" s="3">
        <v>0.08</v>
      </c>
      <c r="AC13" s="3">
        <v>0.68</v>
      </c>
      <c r="AD13" s="3">
        <v>0.02</v>
      </c>
      <c r="AE13" s="3">
        <v>633</v>
      </c>
      <c r="AF13" s="3">
        <v>64</v>
      </c>
      <c r="AG13" s="3">
        <v>312</v>
      </c>
      <c r="AH13" s="3">
        <v>24</v>
      </c>
      <c r="AI13" s="3">
        <v>37</v>
      </c>
      <c r="AJ13" s="3">
        <v>19</v>
      </c>
    </row>
    <row r="14" spans="1:43" x14ac:dyDescent="0.25">
      <c r="A14" s="7">
        <v>25</v>
      </c>
      <c r="B14" s="3" t="s">
        <v>10</v>
      </c>
      <c r="C14" s="3" t="s">
        <v>305</v>
      </c>
      <c r="D14" s="3"/>
      <c r="E14" s="3">
        <v>45.9</v>
      </c>
      <c r="F14" s="3">
        <v>0.38</v>
      </c>
      <c r="G14" s="3">
        <v>1.1299999999999999</v>
      </c>
      <c r="H14" s="3">
        <v>0.08</v>
      </c>
      <c r="I14" s="3">
        <v>9.2100000000000009</v>
      </c>
      <c r="J14" s="3">
        <v>0.12</v>
      </c>
      <c r="K14" s="3">
        <v>0.4</v>
      </c>
      <c r="L14" s="3">
        <v>0.04</v>
      </c>
      <c r="M14" s="3">
        <v>17.7</v>
      </c>
      <c r="N14" s="3">
        <v>0.11</v>
      </c>
      <c r="O14" s="3">
        <v>0.35</v>
      </c>
      <c r="P14" s="3">
        <v>0.01</v>
      </c>
      <c r="Q14" s="3">
        <v>7.49</v>
      </c>
      <c r="R14" s="3">
        <v>0.11</v>
      </c>
      <c r="S14" s="3">
        <v>6.69</v>
      </c>
      <c r="T14" s="3">
        <v>0.06</v>
      </c>
      <c r="U14" s="3">
        <v>2.0299999999999998</v>
      </c>
      <c r="V14" s="3">
        <v>0.24</v>
      </c>
      <c r="W14" s="3">
        <v>0.49</v>
      </c>
      <c r="X14" s="3">
        <v>0.06</v>
      </c>
      <c r="Y14" s="3">
        <v>0.8</v>
      </c>
      <c r="Z14" s="3">
        <v>0.08</v>
      </c>
      <c r="AA14" s="3">
        <v>6.96</v>
      </c>
      <c r="AB14" s="3">
        <v>0.09</v>
      </c>
      <c r="AC14" s="3">
        <v>0.7</v>
      </c>
      <c r="AD14" s="3">
        <v>0.02</v>
      </c>
      <c r="AE14" s="3">
        <v>634</v>
      </c>
      <c r="AF14" s="3">
        <v>61</v>
      </c>
      <c r="AG14" s="3">
        <v>428</v>
      </c>
      <c r="AH14" s="3">
        <v>24</v>
      </c>
      <c r="AI14" s="3">
        <v>159</v>
      </c>
      <c r="AJ14" s="3">
        <v>21</v>
      </c>
    </row>
    <row r="15" spans="1:43" x14ac:dyDescent="0.25">
      <c r="A15" s="7">
        <v>26</v>
      </c>
      <c r="B15" s="3" t="s">
        <v>10</v>
      </c>
      <c r="C15" s="3" t="s">
        <v>306</v>
      </c>
      <c r="D15" s="3"/>
      <c r="E15" s="3">
        <v>45.3</v>
      </c>
      <c r="F15" s="3">
        <v>0.48</v>
      </c>
      <c r="G15" s="3">
        <v>1.24</v>
      </c>
      <c r="H15" s="3">
        <v>0.08</v>
      </c>
      <c r="I15" s="3">
        <v>9.0500000000000007</v>
      </c>
      <c r="J15" s="3">
        <v>0.14000000000000001</v>
      </c>
      <c r="K15" s="3">
        <v>0.46</v>
      </c>
      <c r="L15" s="3">
        <v>0.04</v>
      </c>
      <c r="M15" s="3">
        <v>19.899999999999999</v>
      </c>
      <c r="N15" s="3">
        <v>0.15</v>
      </c>
      <c r="O15" s="3">
        <v>0.36</v>
      </c>
      <c r="P15" s="3">
        <v>0.02</v>
      </c>
      <c r="Q15" s="3">
        <v>7.42</v>
      </c>
      <c r="R15" s="3">
        <v>0.13</v>
      </c>
      <c r="S15" s="3">
        <v>6.72</v>
      </c>
      <c r="T15" s="3">
        <v>0.06</v>
      </c>
      <c r="U15" s="3">
        <v>1.92</v>
      </c>
      <c r="V15" s="3">
        <v>0.3</v>
      </c>
      <c r="W15" s="3">
        <v>0.45</v>
      </c>
      <c r="X15" s="3">
        <v>0.06</v>
      </c>
      <c r="Y15" s="3">
        <v>0.75</v>
      </c>
      <c r="Z15" s="3">
        <v>0.08</v>
      </c>
      <c r="AA15" s="3">
        <v>5.69</v>
      </c>
      <c r="AB15" s="3">
        <v>0.09</v>
      </c>
      <c r="AC15" s="3">
        <v>0.59</v>
      </c>
      <c r="AD15" s="3">
        <v>0.02</v>
      </c>
      <c r="AE15" s="3">
        <v>631</v>
      </c>
      <c r="AF15" s="3">
        <v>69</v>
      </c>
      <c r="AG15" s="3">
        <v>348</v>
      </c>
      <c r="AH15" s="3">
        <v>28</v>
      </c>
      <c r="AI15" s="3">
        <v>130</v>
      </c>
      <c r="AJ15" s="3">
        <v>21</v>
      </c>
    </row>
    <row r="16" spans="1:43" s="15" customFormat="1" ht="15.75" thickBot="1" x14ac:dyDescent="0.3">
      <c r="A16" s="7">
        <v>29</v>
      </c>
      <c r="B16" s="14" t="s">
        <v>4</v>
      </c>
      <c r="C16" s="14" t="s">
        <v>307</v>
      </c>
      <c r="D16" s="14"/>
      <c r="E16" s="14">
        <v>43.1</v>
      </c>
      <c r="F16" s="14">
        <v>0.41</v>
      </c>
      <c r="G16" s="14">
        <v>0.87</v>
      </c>
      <c r="H16" s="14">
        <v>7.0000000000000007E-2</v>
      </c>
      <c r="I16" s="14">
        <v>8.39</v>
      </c>
      <c r="J16" s="14">
        <v>0.12</v>
      </c>
      <c r="K16" s="14">
        <v>0.26</v>
      </c>
      <c r="L16" s="14">
        <v>0.03</v>
      </c>
      <c r="M16" s="14">
        <v>15.7</v>
      </c>
      <c r="N16" s="14">
        <v>0.11</v>
      </c>
      <c r="O16" s="14">
        <v>0.3</v>
      </c>
      <c r="P16" s="14">
        <v>0.01</v>
      </c>
      <c r="Q16" s="14">
        <v>8.14</v>
      </c>
      <c r="R16" s="14">
        <v>0.12</v>
      </c>
      <c r="S16" s="14">
        <v>5.72</v>
      </c>
      <c r="T16" s="14">
        <v>0.05</v>
      </c>
      <c r="U16" s="14">
        <v>2.2799999999999998</v>
      </c>
      <c r="V16" s="14">
        <v>0.25</v>
      </c>
      <c r="W16" s="14">
        <v>0.53</v>
      </c>
      <c r="X16" s="14">
        <v>0.06</v>
      </c>
      <c r="Y16" s="14">
        <v>0.97</v>
      </c>
      <c r="Z16" s="14">
        <v>0.08</v>
      </c>
      <c r="AA16" s="14">
        <v>12.73</v>
      </c>
      <c r="AB16" s="14">
        <v>0.14000000000000001</v>
      </c>
      <c r="AC16" s="14">
        <v>0.87</v>
      </c>
      <c r="AD16" s="14">
        <v>0.02</v>
      </c>
      <c r="AE16" s="14">
        <v>588</v>
      </c>
      <c r="AF16" s="14">
        <v>49</v>
      </c>
      <c r="AG16" s="14">
        <v>295</v>
      </c>
      <c r="AH16" s="14">
        <v>16</v>
      </c>
      <c r="AI16" s="14">
        <v>211</v>
      </c>
      <c r="AJ16" s="14">
        <v>18</v>
      </c>
    </row>
    <row r="17" spans="1:36" s="13" customFormat="1" x14ac:dyDescent="0.25">
      <c r="A17" s="7">
        <v>30</v>
      </c>
      <c r="B17" s="12" t="s">
        <v>4</v>
      </c>
      <c r="C17" s="12" t="s">
        <v>308</v>
      </c>
      <c r="D17" s="12"/>
      <c r="E17" s="12">
        <v>40.299999999999997</v>
      </c>
      <c r="F17" s="12">
        <v>0.44</v>
      </c>
      <c r="G17" s="12">
        <v>0.84</v>
      </c>
      <c r="H17" s="12">
        <v>0.08</v>
      </c>
      <c r="I17" s="12">
        <v>7.26</v>
      </c>
      <c r="J17" s="12">
        <v>0.12</v>
      </c>
      <c r="K17" s="12">
        <v>0.17</v>
      </c>
      <c r="L17" s="12">
        <v>0.04</v>
      </c>
      <c r="M17" s="12">
        <v>15.1</v>
      </c>
      <c r="N17" s="12">
        <v>0.12</v>
      </c>
      <c r="O17" s="12">
        <v>0.3</v>
      </c>
      <c r="P17" s="12">
        <v>0.01</v>
      </c>
      <c r="Q17" s="12">
        <v>7.95</v>
      </c>
      <c r="R17" s="12">
        <v>0.14000000000000001</v>
      </c>
      <c r="S17" s="12">
        <v>4.92</v>
      </c>
      <c r="T17" s="12">
        <v>0.05</v>
      </c>
      <c r="U17" s="12">
        <v>1.88</v>
      </c>
      <c r="V17" s="12">
        <v>0.3</v>
      </c>
      <c r="W17" s="12">
        <v>0.57999999999999996</v>
      </c>
      <c r="X17" s="12">
        <v>0.06</v>
      </c>
      <c r="Y17" s="12">
        <v>1.01</v>
      </c>
      <c r="Z17" s="12">
        <v>0.09</v>
      </c>
      <c r="AA17" s="12">
        <v>18.75</v>
      </c>
      <c r="AB17" s="12">
        <v>0.22</v>
      </c>
      <c r="AC17" s="12">
        <v>0.87</v>
      </c>
      <c r="AD17" s="12">
        <v>0.02</v>
      </c>
      <c r="AE17" s="12">
        <v>657</v>
      </c>
      <c r="AF17" s="12">
        <v>60</v>
      </c>
      <c r="AG17" s="12">
        <v>373</v>
      </c>
      <c r="AH17" s="12">
        <v>23</v>
      </c>
      <c r="AI17" s="12">
        <v>43</v>
      </c>
      <c r="AJ17" s="12">
        <v>19</v>
      </c>
    </row>
    <row r="18" spans="1:36" x14ac:dyDescent="0.25">
      <c r="A18" s="7">
        <v>31</v>
      </c>
      <c r="B18" s="3" t="s">
        <v>6</v>
      </c>
      <c r="C18" s="3" t="s">
        <v>309</v>
      </c>
      <c r="D18" s="3"/>
      <c r="E18" s="3">
        <v>38.299999999999997</v>
      </c>
      <c r="F18" s="3">
        <v>0.4</v>
      </c>
      <c r="G18" s="3">
        <v>0.81</v>
      </c>
      <c r="H18" s="3">
        <v>0.08</v>
      </c>
      <c r="I18" s="3">
        <v>6.2</v>
      </c>
      <c r="J18" s="3">
        <v>0.12</v>
      </c>
      <c r="K18" s="3">
        <v>0.19</v>
      </c>
      <c r="L18" s="3">
        <v>0.03</v>
      </c>
      <c r="M18" s="3">
        <v>16.5</v>
      </c>
      <c r="N18" s="3">
        <v>0.12</v>
      </c>
      <c r="O18" s="3">
        <v>0.3</v>
      </c>
      <c r="P18" s="3">
        <v>0.01</v>
      </c>
      <c r="Q18" s="3">
        <v>8</v>
      </c>
      <c r="R18" s="3">
        <v>0.13</v>
      </c>
      <c r="S18" s="3">
        <v>4.42</v>
      </c>
      <c r="T18" s="3">
        <v>0.05</v>
      </c>
      <c r="U18" s="3">
        <v>1.67</v>
      </c>
      <c r="V18" s="3">
        <v>0.27</v>
      </c>
      <c r="W18" s="3">
        <v>0.56000000000000005</v>
      </c>
      <c r="X18" s="3">
        <v>0.06</v>
      </c>
      <c r="Y18" s="3">
        <v>0.99</v>
      </c>
      <c r="Z18" s="3">
        <v>0.09</v>
      </c>
      <c r="AA18" s="3">
        <v>21.31</v>
      </c>
      <c r="AB18" s="3">
        <v>0.22</v>
      </c>
      <c r="AC18" s="3">
        <v>0.6</v>
      </c>
      <c r="AD18" s="3">
        <v>0.02</v>
      </c>
      <c r="AE18" s="3">
        <v>735</v>
      </c>
      <c r="AF18" s="3">
        <v>56</v>
      </c>
      <c r="AG18" s="3">
        <v>279</v>
      </c>
      <c r="AH18" s="3">
        <v>19</v>
      </c>
      <c r="AI18" s="3">
        <v>342</v>
      </c>
      <c r="AJ18" s="3">
        <v>21</v>
      </c>
    </row>
    <row r="19" spans="1:36" x14ac:dyDescent="0.25">
      <c r="A19" s="7">
        <v>36</v>
      </c>
      <c r="B19" s="3" t="s">
        <v>6</v>
      </c>
      <c r="C19" s="3" t="s">
        <v>310</v>
      </c>
      <c r="D19" s="3"/>
      <c r="E19" s="3">
        <v>36.200000000000003</v>
      </c>
      <c r="F19" s="3">
        <v>0.37</v>
      </c>
      <c r="G19" s="3">
        <v>0.65</v>
      </c>
      <c r="H19" s="3">
        <v>7.0000000000000007E-2</v>
      </c>
      <c r="I19" s="3">
        <v>5.85</v>
      </c>
      <c r="J19" s="3">
        <v>0.1</v>
      </c>
      <c r="K19" s="3">
        <v>0.17</v>
      </c>
      <c r="L19" s="3">
        <v>0.03</v>
      </c>
      <c r="M19" s="3">
        <v>14.8</v>
      </c>
      <c r="N19" s="3">
        <v>0.11</v>
      </c>
      <c r="O19" s="3">
        <v>0.3</v>
      </c>
      <c r="P19" s="3">
        <v>0.01</v>
      </c>
      <c r="Q19" s="3">
        <v>8.4499999999999993</v>
      </c>
      <c r="R19" s="3">
        <v>0.12</v>
      </c>
      <c r="S19" s="3">
        <v>4.91</v>
      </c>
      <c r="T19" s="3">
        <v>0.05</v>
      </c>
      <c r="U19" s="3">
        <v>1.66</v>
      </c>
      <c r="V19" s="3">
        <v>0.26</v>
      </c>
      <c r="W19" s="3">
        <v>0.53</v>
      </c>
      <c r="X19" s="3">
        <v>0.06</v>
      </c>
      <c r="Y19" s="3">
        <v>0.97</v>
      </c>
      <c r="Z19" s="3">
        <v>0.09</v>
      </c>
      <c r="AA19" s="3">
        <v>24.91</v>
      </c>
      <c r="AB19" s="3">
        <v>0.25</v>
      </c>
      <c r="AC19" s="3">
        <v>0.5</v>
      </c>
      <c r="AD19" s="3">
        <v>0.01</v>
      </c>
      <c r="AE19" s="3">
        <v>589</v>
      </c>
      <c r="AF19" s="3">
        <v>50</v>
      </c>
      <c r="AG19" s="3">
        <v>324</v>
      </c>
      <c r="AH19" s="3">
        <v>17</v>
      </c>
      <c r="AI19" s="3">
        <v>30</v>
      </c>
      <c r="AJ19" s="3">
        <v>16</v>
      </c>
    </row>
    <row r="20" spans="1:36" x14ac:dyDescent="0.25">
      <c r="A20" s="7">
        <v>40</v>
      </c>
      <c r="B20" s="3" t="s">
        <v>4</v>
      </c>
      <c r="C20" s="3" t="s">
        <v>311</v>
      </c>
      <c r="D20" s="3"/>
      <c r="E20" s="3">
        <v>38.4</v>
      </c>
      <c r="F20" s="3">
        <v>0.36</v>
      </c>
      <c r="G20" s="3">
        <v>0.7</v>
      </c>
      <c r="H20" s="3">
        <v>0.06</v>
      </c>
      <c r="I20" s="3">
        <v>7.06</v>
      </c>
      <c r="J20" s="3">
        <v>0.09</v>
      </c>
      <c r="K20" s="3">
        <v>0.16</v>
      </c>
      <c r="L20" s="3">
        <v>0.03</v>
      </c>
      <c r="M20" s="3">
        <v>17.399999999999999</v>
      </c>
      <c r="N20" s="3">
        <v>0.11</v>
      </c>
      <c r="O20" s="3">
        <v>0.3</v>
      </c>
      <c r="P20" s="3">
        <v>0.01</v>
      </c>
      <c r="Q20" s="3">
        <v>7.65</v>
      </c>
      <c r="R20" s="3">
        <v>0.1</v>
      </c>
      <c r="S20" s="3">
        <v>4.84</v>
      </c>
      <c r="T20" s="3">
        <v>0.04</v>
      </c>
      <c r="U20" s="3">
        <v>2.09</v>
      </c>
      <c r="V20" s="3">
        <v>0.23</v>
      </c>
      <c r="W20" s="3">
        <v>0.56000000000000005</v>
      </c>
      <c r="X20" s="3">
        <v>0.06</v>
      </c>
      <c r="Y20" s="3">
        <v>1</v>
      </c>
      <c r="Z20" s="3">
        <v>0.08</v>
      </c>
      <c r="AA20" s="3">
        <v>18.91</v>
      </c>
      <c r="AB20" s="3">
        <v>0.18</v>
      </c>
      <c r="AC20" s="3">
        <v>0.9</v>
      </c>
      <c r="AD20" s="3">
        <v>0.02</v>
      </c>
      <c r="AE20" s="3">
        <v>686</v>
      </c>
      <c r="AF20" s="3">
        <v>48</v>
      </c>
      <c r="AG20" s="3">
        <v>397</v>
      </c>
      <c r="AH20" s="3">
        <v>16</v>
      </c>
      <c r="AI20" s="3">
        <v>32</v>
      </c>
      <c r="AJ20" s="3">
        <v>15</v>
      </c>
    </row>
    <row r="21" spans="1:36" x14ac:dyDescent="0.25">
      <c r="A21" s="7">
        <v>43</v>
      </c>
      <c r="B21" s="3" t="s">
        <v>4</v>
      </c>
      <c r="C21" s="3" t="s">
        <v>312</v>
      </c>
      <c r="D21" s="3"/>
      <c r="E21" s="3">
        <v>43</v>
      </c>
      <c r="F21" s="3">
        <v>0.43</v>
      </c>
      <c r="G21" s="3">
        <v>0.88</v>
      </c>
      <c r="H21" s="3">
        <v>7.0000000000000007E-2</v>
      </c>
      <c r="I21" s="3">
        <v>8.39</v>
      </c>
      <c r="J21" s="3">
        <v>0.12</v>
      </c>
      <c r="K21" s="3">
        <v>0.23</v>
      </c>
      <c r="L21" s="3">
        <v>0.03</v>
      </c>
      <c r="M21" s="3">
        <v>15.6</v>
      </c>
      <c r="N21" s="3">
        <v>0.11</v>
      </c>
      <c r="O21" s="3">
        <v>0.28999999999999998</v>
      </c>
      <c r="P21" s="3">
        <v>0.01</v>
      </c>
      <c r="Q21" s="3">
        <v>7.82</v>
      </c>
      <c r="R21" s="3">
        <v>0.12</v>
      </c>
      <c r="S21" s="3">
        <v>5.98</v>
      </c>
      <c r="T21" s="3">
        <v>0.05</v>
      </c>
      <c r="U21" s="3">
        <v>2.2599999999999998</v>
      </c>
      <c r="V21" s="3">
        <v>0.25</v>
      </c>
      <c r="W21" s="3">
        <v>0.56000000000000005</v>
      </c>
      <c r="X21" s="3">
        <v>0.06</v>
      </c>
      <c r="Y21" s="3">
        <v>0.98</v>
      </c>
      <c r="Z21" s="3">
        <v>0.08</v>
      </c>
      <c r="AA21" s="3">
        <v>12.97</v>
      </c>
      <c r="AB21" s="3">
        <v>0.15</v>
      </c>
      <c r="AC21" s="3">
        <v>0.86</v>
      </c>
      <c r="AD21" s="3">
        <v>0.02</v>
      </c>
      <c r="AE21" s="3">
        <v>633</v>
      </c>
      <c r="AF21" s="3">
        <v>52</v>
      </c>
      <c r="AG21" s="3">
        <v>414</v>
      </c>
      <c r="AH21" s="3">
        <v>19</v>
      </c>
      <c r="AI21" s="3">
        <v>90</v>
      </c>
      <c r="AJ21" s="3">
        <v>17</v>
      </c>
    </row>
    <row r="22" spans="1:36" x14ac:dyDescent="0.25">
      <c r="A22" s="7">
        <v>45</v>
      </c>
      <c r="B22" s="3" t="s">
        <v>6</v>
      </c>
      <c r="C22" s="3" t="s">
        <v>313</v>
      </c>
      <c r="D22" s="3"/>
      <c r="E22" s="3">
        <v>36.299999999999997</v>
      </c>
      <c r="F22" s="3">
        <v>0.38</v>
      </c>
      <c r="G22" s="3">
        <v>0.74</v>
      </c>
      <c r="H22" s="3">
        <v>7.0000000000000007E-2</v>
      </c>
      <c r="I22" s="3">
        <v>6.18</v>
      </c>
      <c r="J22" s="3">
        <v>0.1</v>
      </c>
      <c r="K22" s="3">
        <v>0.2</v>
      </c>
      <c r="L22" s="3">
        <v>0.03</v>
      </c>
      <c r="M22" s="3">
        <v>15.3</v>
      </c>
      <c r="N22" s="3">
        <v>0.12</v>
      </c>
      <c r="O22" s="3">
        <v>0.26</v>
      </c>
      <c r="P22" s="3">
        <v>0.01</v>
      </c>
      <c r="Q22" s="3">
        <v>8.3800000000000008</v>
      </c>
      <c r="R22" s="3">
        <v>0.13</v>
      </c>
      <c r="S22" s="3">
        <v>5.19</v>
      </c>
      <c r="T22" s="3">
        <v>0.05</v>
      </c>
      <c r="U22" s="3">
        <v>1.64</v>
      </c>
      <c r="V22" s="3">
        <v>0.27</v>
      </c>
      <c r="W22" s="3">
        <v>0.59</v>
      </c>
      <c r="X22" s="3">
        <v>0.06</v>
      </c>
      <c r="Y22" s="3">
        <v>1.01</v>
      </c>
      <c r="Z22" s="3">
        <v>0.09</v>
      </c>
      <c r="AA22" s="3">
        <v>23.61</v>
      </c>
      <c r="AB22" s="3">
        <v>0.24</v>
      </c>
      <c r="AC22" s="3">
        <v>0.54</v>
      </c>
      <c r="AD22" s="3">
        <v>0.02</v>
      </c>
      <c r="AE22" s="3">
        <v>656</v>
      </c>
      <c r="AF22" s="3">
        <v>54</v>
      </c>
      <c r="AG22" s="3">
        <v>427</v>
      </c>
      <c r="AH22" s="3">
        <v>21</v>
      </c>
      <c r="AI22" s="3">
        <v>105</v>
      </c>
      <c r="AJ22" s="3">
        <v>19</v>
      </c>
    </row>
    <row r="23" spans="1:36" x14ac:dyDescent="0.25">
      <c r="A23" s="7">
        <v>46</v>
      </c>
      <c r="B23" s="3" t="s">
        <v>4</v>
      </c>
      <c r="C23" s="3" t="s">
        <v>314</v>
      </c>
      <c r="D23" s="3"/>
      <c r="E23" s="3">
        <v>39.5</v>
      </c>
      <c r="F23" s="3">
        <v>0.34</v>
      </c>
      <c r="G23" s="3">
        <v>0.7</v>
      </c>
      <c r="H23" s="3">
        <v>0.06</v>
      </c>
      <c r="I23" s="3">
        <v>8.02</v>
      </c>
      <c r="J23" s="3">
        <v>0.12</v>
      </c>
      <c r="K23" s="3">
        <v>0.27</v>
      </c>
      <c r="L23" s="3">
        <v>0.03</v>
      </c>
      <c r="M23" s="3">
        <v>29.3</v>
      </c>
      <c r="N23" s="3">
        <v>0.15</v>
      </c>
      <c r="O23" s="3">
        <v>0.27</v>
      </c>
      <c r="P23" s="3">
        <v>0.01</v>
      </c>
      <c r="Q23" s="3">
        <v>6.82</v>
      </c>
      <c r="R23" s="3">
        <v>0.09</v>
      </c>
      <c r="S23" s="3">
        <v>5.24</v>
      </c>
      <c r="T23" s="3">
        <v>0.04</v>
      </c>
      <c r="U23" s="3">
        <v>2.29</v>
      </c>
      <c r="V23" s="3">
        <v>0.21</v>
      </c>
      <c r="W23" s="3">
        <v>0.38</v>
      </c>
      <c r="X23" s="3">
        <v>0.06</v>
      </c>
      <c r="Y23" s="3">
        <v>0.76</v>
      </c>
      <c r="Z23" s="3">
        <v>7.0000000000000007E-2</v>
      </c>
      <c r="AA23" s="3">
        <v>5.6</v>
      </c>
      <c r="AB23" s="3">
        <v>0.06</v>
      </c>
      <c r="AC23" s="3">
        <v>0.72</v>
      </c>
      <c r="AD23" s="3">
        <v>0.01</v>
      </c>
      <c r="AE23" s="3">
        <v>801</v>
      </c>
      <c r="AF23" s="3">
        <v>45</v>
      </c>
      <c r="AG23" s="3">
        <v>331</v>
      </c>
      <c r="AH23" s="3">
        <v>13</v>
      </c>
      <c r="AI23" s="3">
        <v>41</v>
      </c>
      <c r="AJ23" s="3">
        <v>15</v>
      </c>
    </row>
    <row r="24" spans="1:36" x14ac:dyDescent="0.25">
      <c r="A24" s="7">
        <v>48</v>
      </c>
      <c r="B24" s="3" t="s">
        <v>4</v>
      </c>
      <c r="C24" s="3" t="s">
        <v>315</v>
      </c>
      <c r="D24" s="3"/>
      <c r="E24" s="3">
        <v>42.7</v>
      </c>
      <c r="F24" s="3">
        <v>0.44</v>
      </c>
      <c r="G24" s="3">
        <v>0.84</v>
      </c>
      <c r="H24" s="3">
        <v>7.0000000000000007E-2</v>
      </c>
      <c r="I24" s="3">
        <v>8.1199999999999992</v>
      </c>
      <c r="J24" s="3">
        <v>0.12</v>
      </c>
      <c r="K24" s="3">
        <v>0.2</v>
      </c>
      <c r="L24" s="3">
        <v>0.03</v>
      </c>
      <c r="M24" s="3">
        <v>15.6</v>
      </c>
      <c r="N24" s="3">
        <v>0.12</v>
      </c>
      <c r="O24" s="3">
        <v>0.34</v>
      </c>
      <c r="P24" s="3">
        <v>0.01</v>
      </c>
      <c r="Q24" s="3">
        <v>7.86</v>
      </c>
      <c r="R24" s="3">
        <v>0.13</v>
      </c>
      <c r="S24" s="3">
        <v>5.51</v>
      </c>
      <c r="T24" s="3">
        <v>0.05</v>
      </c>
      <c r="U24" s="3">
        <v>2.11</v>
      </c>
      <c r="V24" s="3">
        <v>0.27</v>
      </c>
      <c r="W24" s="3">
        <v>0.56000000000000005</v>
      </c>
      <c r="X24" s="3">
        <v>0.06</v>
      </c>
      <c r="Y24" s="3">
        <v>0.97</v>
      </c>
      <c r="Z24" s="3">
        <v>0.08</v>
      </c>
      <c r="AA24" s="3">
        <v>14.08</v>
      </c>
      <c r="AB24" s="3">
        <v>0.16</v>
      </c>
      <c r="AC24" s="3">
        <v>0.99</v>
      </c>
      <c r="AD24" s="3">
        <v>0.02</v>
      </c>
      <c r="AE24" s="3">
        <v>607</v>
      </c>
      <c r="AF24" s="3">
        <v>53</v>
      </c>
      <c r="AG24" s="3">
        <v>426</v>
      </c>
      <c r="AH24" s="3">
        <v>21</v>
      </c>
      <c r="AI24" s="3">
        <v>103</v>
      </c>
      <c r="AJ24" s="3">
        <v>19</v>
      </c>
    </row>
    <row r="25" spans="1:36" x14ac:dyDescent="0.25">
      <c r="A25" s="7">
        <v>51</v>
      </c>
      <c r="B25" s="3" t="s">
        <v>4</v>
      </c>
      <c r="C25" s="3" t="s">
        <v>316</v>
      </c>
      <c r="D25" s="3"/>
      <c r="E25" s="3">
        <v>38.299999999999997</v>
      </c>
      <c r="F25" s="3">
        <v>0.4</v>
      </c>
      <c r="G25" s="3">
        <v>0.67</v>
      </c>
      <c r="H25" s="3">
        <v>7.0000000000000007E-2</v>
      </c>
      <c r="I25" s="3">
        <v>6.99</v>
      </c>
      <c r="J25" s="3">
        <v>0.11</v>
      </c>
      <c r="K25" s="3">
        <v>0.17</v>
      </c>
      <c r="L25" s="3">
        <v>0.03</v>
      </c>
      <c r="M25" s="3">
        <v>17.7</v>
      </c>
      <c r="N25" s="3">
        <v>0.13</v>
      </c>
      <c r="O25" s="3">
        <v>0.24</v>
      </c>
      <c r="P25" s="3">
        <v>0.01</v>
      </c>
      <c r="Q25" s="3">
        <v>8.16</v>
      </c>
      <c r="R25" s="3">
        <v>0.13</v>
      </c>
      <c r="S25" s="3">
        <v>4.37</v>
      </c>
      <c r="T25" s="3">
        <v>0.05</v>
      </c>
      <c r="U25" s="3">
        <v>2.16</v>
      </c>
      <c r="V25" s="3">
        <v>0.25</v>
      </c>
      <c r="W25" s="3">
        <v>0.52</v>
      </c>
      <c r="X25" s="3">
        <v>0.06</v>
      </c>
      <c r="Y25" s="3">
        <v>0.99</v>
      </c>
      <c r="Z25" s="3">
        <v>0.08</v>
      </c>
      <c r="AA25" s="3">
        <v>18.7</v>
      </c>
      <c r="AB25" s="3">
        <v>0.2</v>
      </c>
      <c r="AC25" s="3">
        <v>0.85</v>
      </c>
      <c r="AD25" s="3">
        <v>0.02</v>
      </c>
      <c r="AE25" s="3">
        <v>653</v>
      </c>
      <c r="AF25" s="3">
        <v>55</v>
      </c>
      <c r="AG25" s="3">
        <v>388</v>
      </c>
      <c r="AH25" s="3">
        <v>21</v>
      </c>
      <c r="AI25" s="3">
        <v>100</v>
      </c>
      <c r="AJ25" s="3">
        <v>18</v>
      </c>
    </row>
    <row r="26" spans="1:36" x14ac:dyDescent="0.25">
      <c r="A26" s="7">
        <v>60</v>
      </c>
      <c r="B26" s="3" t="s">
        <v>3</v>
      </c>
      <c r="C26" s="3" t="s">
        <v>317</v>
      </c>
      <c r="D26" s="3"/>
      <c r="E26" s="3">
        <v>45.3</v>
      </c>
      <c r="F26" s="3">
        <v>0.28999999999999998</v>
      </c>
      <c r="G26" s="3">
        <v>1.02</v>
      </c>
      <c r="H26" s="3">
        <v>7.0000000000000007E-2</v>
      </c>
      <c r="I26" s="3">
        <v>9.2200000000000006</v>
      </c>
      <c r="J26" s="3">
        <v>0.09</v>
      </c>
      <c r="K26" s="3">
        <v>0.33</v>
      </c>
      <c r="L26" s="3">
        <v>0.03</v>
      </c>
      <c r="M26" s="3">
        <v>17.600000000000001</v>
      </c>
      <c r="N26" s="3">
        <v>7.0000000000000007E-2</v>
      </c>
      <c r="O26" s="3">
        <v>0.34</v>
      </c>
      <c r="P26" s="3">
        <v>0.01</v>
      </c>
      <c r="Q26" s="3">
        <v>7.63</v>
      </c>
      <c r="R26" s="3">
        <v>0.08</v>
      </c>
      <c r="S26" s="3">
        <v>6.59</v>
      </c>
      <c r="T26" s="3">
        <v>0.04</v>
      </c>
      <c r="U26" s="3">
        <v>2.2400000000000002</v>
      </c>
      <c r="V26" s="3">
        <v>0.19</v>
      </c>
      <c r="W26" s="3">
        <v>0.48</v>
      </c>
      <c r="X26" s="3">
        <v>0.06</v>
      </c>
      <c r="Y26" s="3">
        <v>0.94</v>
      </c>
      <c r="Z26" s="3">
        <v>7.0000000000000007E-2</v>
      </c>
      <c r="AA26" s="3">
        <v>7.34</v>
      </c>
      <c r="AB26" s="3">
        <v>7.0000000000000007E-2</v>
      </c>
      <c r="AC26" s="3">
        <v>0.79</v>
      </c>
      <c r="AD26" s="3">
        <v>0.01</v>
      </c>
      <c r="AE26" s="3">
        <v>470</v>
      </c>
      <c r="AF26" s="3">
        <v>42</v>
      </c>
      <c r="AG26" s="3">
        <v>404</v>
      </c>
      <c r="AH26" s="3">
        <v>14</v>
      </c>
      <c r="AI26" s="3">
        <v>26</v>
      </c>
      <c r="AJ26" s="3">
        <v>14</v>
      </c>
    </row>
    <row r="27" spans="1:36" x14ac:dyDescent="0.25">
      <c r="A27" s="7">
        <v>66</v>
      </c>
      <c r="B27" s="3" t="s">
        <v>4</v>
      </c>
      <c r="C27" s="3" t="s">
        <v>318</v>
      </c>
      <c r="D27" s="3"/>
      <c r="E27" s="3">
        <v>48.5</v>
      </c>
      <c r="F27" s="3">
        <v>0.5</v>
      </c>
      <c r="G27" s="3">
        <v>0.83</v>
      </c>
      <c r="H27" s="3">
        <v>0.09</v>
      </c>
      <c r="I27" s="3">
        <v>9.68</v>
      </c>
      <c r="J27" s="3">
        <v>0.16</v>
      </c>
      <c r="K27" s="3">
        <v>0.1</v>
      </c>
      <c r="L27" s="3">
        <v>0.04</v>
      </c>
      <c r="M27" s="3">
        <v>15.5</v>
      </c>
      <c r="N27" s="3">
        <v>0.11</v>
      </c>
      <c r="O27" s="3">
        <v>0.42</v>
      </c>
      <c r="P27" s="3">
        <v>0.02</v>
      </c>
      <c r="Q27" s="3">
        <v>6.56</v>
      </c>
      <c r="R27" s="3">
        <v>0.14000000000000001</v>
      </c>
      <c r="S27" s="3">
        <v>10.93</v>
      </c>
      <c r="T27" s="3">
        <v>0.1</v>
      </c>
      <c r="U27" s="3">
        <v>1.97</v>
      </c>
      <c r="V27" s="3">
        <v>0.32</v>
      </c>
      <c r="W27" s="3">
        <v>0.27</v>
      </c>
      <c r="X27" s="3">
        <v>0.06</v>
      </c>
      <c r="Y27" s="3">
        <v>0.99</v>
      </c>
      <c r="Z27" s="3">
        <v>0.09</v>
      </c>
      <c r="AA27" s="3">
        <v>3.66</v>
      </c>
      <c r="AB27" s="3">
        <v>0.08</v>
      </c>
      <c r="AC27" s="3">
        <v>0.56999999999999995</v>
      </c>
      <c r="AD27" s="3">
        <v>0.02</v>
      </c>
      <c r="AE27" s="3">
        <v>153</v>
      </c>
      <c r="AF27" s="3">
        <v>63</v>
      </c>
      <c r="AG27" s="3">
        <v>110</v>
      </c>
      <c r="AH27" s="3">
        <v>25</v>
      </c>
      <c r="AI27" s="3">
        <v>41</v>
      </c>
      <c r="AJ27" s="3">
        <v>21</v>
      </c>
    </row>
    <row r="28" spans="1:36" x14ac:dyDescent="0.25">
      <c r="A28" s="7">
        <v>68</v>
      </c>
      <c r="B28" s="3" t="s">
        <v>6</v>
      </c>
      <c r="C28" s="3" t="s">
        <v>319</v>
      </c>
      <c r="D28" s="3"/>
      <c r="E28" s="3">
        <v>51.6</v>
      </c>
      <c r="F28" s="3">
        <v>0.51</v>
      </c>
      <c r="G28" s="3">
        <v>0.74</v>
      </c>
      <c r="H28" s="3">
        <v>7.0000000000000007E-2</v>
      </c>
      <c r="I28" s="3">
        <v>10.48</v>
      </c>
      <c r="J28" s="3">
        <v>0.14000000000000001</v>
      </c>
      <c r="K28" s="3">
        <v>0.11</v>
      </c>
      <c r="L28" s="3">
        <v>0.03</v>
      </c>
      <c r="M28" s="3">
        <v>14.4</v>
      </c>
      <c r="N28" s="3">
        <v>0.11</v>
      </c>
      <c r="O28" s="3">
        <v>0.4</v>
      </c>
      <c r="P28" s="3">
        <v>0.01</v>
      </c>
      <c r="Q28" s="3">
        <v>6.84</v>
      </c>
      <c r="R28" s="3">
        <v>0.11</v>
      </c>
      <c r="S28" s="3">
        <v>12.09</v>
      </c>
      <c r="T28" s="3">
        <v>0.09</v>
      </c>
      <c r="U28" s="3">
        <v>1.66</v>
      </c>
      <c r="V28" s="3">
        <v>0.25</v>
      </c>
      <c r="W28" s="3">
        <v>0.11</v>
      </c>
      <c r="X28" s="3">
        <v>0.05</v>
      </c>
      <c r="Y28" s="3">
        <v>0.92</v>
      </c>
      <c r="Z28" s="3">
        <v>0.08</v>
      </c>
      <c r="AA28" s="3">
        <v>0.56000000000000005</v>
      </c>
      <c r="AB28" s="3">
        <v>0.03</v>
      </c>
      <c r="AC28" s="3">
        <v>0.1</v>
      </c>
      <c r="AD28" s="3">
        <v>0.01</v>
      </c>
      <c r="AE28" s="3">
        <v>81</v>
      </c>
      <c r="AF28" s="3">
        <v>42</v>
      </c>
      <c r="AG28" s="3">
        <v>38</v>
      </c>
      <c r="AH28" s="3">
        <v>12</v>
      </c>
      <c r="AI28" s="3">
        <v>39</v>
      </c>
      <c r="AJ28" s="3">
        <v>17</v>
      </c>
    </row>
    <row r="29" spans="1:36" x14ac:dyDescent="0.25">
      <c r="A29" s="7">
        <v>70</v>
      </c>
      <c r="B29" s="3" t="s">
        <v>4</v>
      </c>
      <c r="C29" s="3" t="s">
        <v>320</v>
      </c>
      <c r="D29" s="3"/>
      <c r="E29" s="3">
        <v>47.5</v>
      </c>
      <c r="F29" s="3">
        <v>0.45</v>
      </c>
      <c r="G29" s="3">
        <v>0.69</v>
      </c>
      <c r="H29" s="3">
        <v>7.0000000000000007E-2</v>
      </c>
      <c r="I29" s="3">
        <v>10.74</v>
      </c>
      <c r="J29" s="3">
        <v>0.16</v>
      </c>
      <c r="K29" s="3">
        <v>0.12</v>
      </c>
      <c r="L29" s="3">
        <v>0.03</v>
      </c>
      <c r="M29" s="3">
        <v>14.2</v>
      </c>
      <c r="N29" s="3">
        <v>0.1</v>
      </c>
      <c r="O29" s="3">
        <v>0.37</v>
      </c>
      <c r="P29" s="3">
        <v>0.01</v>
      </c>
      <c r="Q29" s="3">
        <v>7.65</v>
      </c>
      <c r="R29" s="3">
        <v>0.12</v>
      </c>
      <c r="S29" s="3">
        <v>9.83</v>
      </c>
      <c r="T29" s="3">
        <v>7.0000000000000007E-2</v>
      </c>
      <c r="U29" s="3">
        <v>2.16</v>
      </c>
      <c r="V29" s="3">
        <v>0.25</v>
      </c>
      <c r="W29" s="3">
        <v>0.27</v>
      </c>
      <c r="X29" s="3">
        <v>0.06</v>
      </c>
      <c r="Y29" s="3">
        <v>0.88</v>
      </c>
      <c r="Z29" s="3">
        <v>0.08</v>
      </c>
      <c r="AA29" s="3">
        <v>4.63</v>
      </c>
      <c r="AB29" s="3">
        <v>7.0000000000000007E-2</v>
      </c>
      <c r="AC29" s="3">
        <v>0.94</v>
      </c>
      <c r="AD29" s="3">
        <v>0.02</v>
      </c>
      <c r="AE29" s="3">
        <v>162</v>
      </c>
      <c r="AF29" s="3">
        <v>40</v>
      </c>
      <c r="AG29" s="3">
        <v>145</v>
      </c>
      <c r="AH29" s="3">
        <v>12</v>
      </c>
      <c r="AI29" s="3">
        <v>33</v>
      </c>
      <c r="AJ29" s="3">
        <v>15</v>
      </c>
    </row>
    <row r="30" spans="1:36" x14ac:dyDescent="0.25">
      <c r="A30" s="7">
        <v>80</v>
      </c>
      <c r="B30" s="3" t="s">
        <v>3</v>
      </c>
      <c r="C30" s="3" t="s">
        <v>321</v>
      </c>
      <c r="D30" s="3"/>
      <c r="E30" s="3">
        <v>38.6</v>
      </c>
      <c r="F30" s="3">
        <v>0.47</v>
      </c>
      <c r="G30" s="3">
        <v>0.68</v>
      </c>
      <c r="H30" s="3">
        <v>7.0000000000000007E-2</v>
      </c>
      <c r="I30" s="3">
        <v>7.66</v>
      </c>
      <c r="J30" s="3">
        <v>0.13</v>
      </c>
      <c r="K30" s="3">
        <v>0.3</v>
      </c>
      <c r="L30" s="3">
        <v>0.04</v>
      </c>
      <c r="M30" s="3">
        <v>31.5</v>
      </c>
      <c r="N30" s="3">
        <v>0.24</v>
      </c>
      <c r="O30" s="3">
        <v>0.27</v>
      </c>
      <c r="P30" s="3">
        <v>0.02</v>
      </c>
      <c r="Q30" s="3">
        <v>6.81</v>
      </c>
      <c r="R30" s="3">
        <v>0.13</v>
      </c>
      <c r="S30" s="3">
        <v>5.0999999999999996</v>
      </c>
      <c r="T30" s="3">
        <v>0.06</v>
      </c>
      <c r="U30" s="3">
        <v>2.21</v>
      </c>
      <c r="V30" s="3">
        <v>0.27</v>
      </c>
      <c r="W30" s="3">
        <v>0.37</v>
      </c>
      <c r="X30" s="3">
        <v>0.06</v>
      </c>
      <c r="Y30" s="3">
        <v>0.77</v>
      </c>
      <c r="Z30" s="3">
        <v>0.08</v>
      </c>
      <c r="AA30" s="3">
        <v>4.9000000000000004</v>
      </c>
      <c r="AB30" s="3">
        <v>0.1</v>
      </c>
      <c r="AC30" s="3">
        <v>0.68</v>
      </c>
      <c r="AD30" s="3">
        <v>0.02</v>
      </c>
      <c r="AE30" s="3">
        <v>882</v>
      </c>
      <c r="AF30" s="3">
        <v>84</v>
      </c>
      <c r="AG30" s="3">
        <v>304</v>
      </c>
      <c r="AH30" s="3">
        <v>31</v>
      </c>
      <c r="AI30" s="3">
        <v>35</v>
      </c>
      <c r="AJ30" s="3">
        <v>23</v>
      </c>
    </row>
    <row r="31" spans="1:36" x14ac:dyDescent="0.25">
      <c r="A31" s="7">
        <v>81</v>
      </c>
      <c r="B31" s="3" t="s">
        <v>10</v>
      </c>
      <c r="C31" s="3" t="s">
        <v>322</v>
      </c>
      <c r="D31" s="3"/>
      <c r="E31" s="3">
        <v>47.1</v>
      </c>
      <c r="F31" s="3">
        <v>0.5</v>
      </c>
      <c r="G31" s="3">
        <v>1.23</v>
      </c>
      <c r="H31" s="3">
        <v>0.08</v>
      </c>
      <c r="I31" s="3">
        <v>9.8800000000000008</v>
      </c>
      <c r="J31" s="3">
        <v>0.15</v>
      </c>
      <c r="K31" s="3">
        <v>0.48</v>
      </c>
      <c r="L31" s="3">
        <v>0.04</v>
      </c>
      <c r="M31" s="3">
        <v>17.899999999999999</v>
      </c>
      <c r="N31" s="3">
        <v>0.14000000000000001</v>
      </c>
      <c r="O31" s="3">
        <v>0.36</v>
      </c>
      <c r="P31" s="3">
        <v>0.02</v>
      </c>
      <c r="Q31" s="3">
        <v>7.59</v>
      </c>
      <c r="R31" s="3">
        <v>0.14000000000000001</v>
      </c>
      <c r="S31" s="3">
        <v>6.73</v>
      </c>
      <c r="T31" s="3">
        <v>7.0000000000000007E-2</v>
      </c>
      <c r="U31" s="3">
        <v>2.34</v>
      </c>
      <c r="V31" s="3">
        <v>0.28999999999999998</v>
      </c>
      <c r="W31" s="3">
        <v>0.41</v>
      </c>
      <c r="X31" s="3">
        <v>0.06</v>
      </c>
      <c r="Y31" s="3">
        <v>0.74</v>
      </c>
      <c r="Z31" s="3">
        <v>0.08</v>
      </c>
      <c r="AA31" s="3">
        <v>4.57</v>
      </c>
      <c r="AB31" s="3">
        <v>0.08</v>
      </c>
      <c r="AC31" s="3">
        <v>0.49</v>
      </c>
      <c r="AD31" s="3">
        <v>0.02</v>
      </c>
      <c r="AE31" s="3">
        <v>592</v>
      </c>
      <c r="AF31" s="3">
        <v>66</v>
      </c>
      <c r="AG31" s="3">
        <v>256</v>
      </c>
      <c r="AH31" s="3">
        <v>25</v>
      </c>
      <c r="AI31" s="3">
        <v>40</v>
      </c>
      <c r="AJ31" s="3">
        <v>21</v>
      </c>
    </row>
    <row r="32" spans="1:36" x14ac:dyDescent="0.25">
      <c r="A32" s="7">
        <v>87</v>
      </c>
      <c r="B32" s="3" t="s">
        <v>6</v>
      </c>
      <c r="C32" s="3" t="s">
        <v>323</v>
      </c>
      <c r="D32" s="3"/>
      <c r="E32" s="3">
        <v>34.700000000000003</v>
      </c>
      <c r="F32" s="3">
        <v>0.33</v>
      </c>
      <c r="G32" s="3">
        <v>0.76</v>
      </c>
      <c r="H32" s="3">
        <v>0.06</v>
      </c>
      <c r="I32" s="3">
        <v>5.82</v>
      </c>
      <c r="J32" s="3">
        <v>0.08</v>
      </c>
      <c r="K32" s="3">
        <v>0.19</v>
      </c>
      <c r="L32" s="3">
        <v>0.03</v>
      </c>
      <c r="M32" s="3">
        <v>15.7</v>
      </c>
      <c r="N32" s="3">
        <v>0.1</v>
      </c>
      <c r="O32" s="3">
        <v>0.36</v>
      </c>
      <c r="P32" s="3">
        <v>0.01</v>
      </c>
      <c r="Q32" s="3">
        <v>8.6300000000000008</v>
      </c>
      <c r="R32" s="3">
        <v>0.11</v>
      </c>
      <c r="S32" s="3">
        <v>4.82</v>
      </c>
      <c r="T32" s="3">
        <v>0.04</v>
      </c>
      <c r="U32" s="3">
        <v>1.5</v>
      </c>
      <c r="V32" s="3">
        <v>0.22</v>
      </c>
      <c r="W32" s="3">
        <v>0.5</v>
      </c>
      <c r="X32" s="3">
        <v>0.06</v>
      </c>
      <c r="Y32" s="3">
        <v>0.97</v>
      </c>
      <c r="Z32" s="3">
        <v>0.08</v>
      </c>
      <c r="AA32" s="3">
        <v>25.21</v>
      </c>
      <c r="AB32" s="3">
        <v>0.22</v>
      </c>
      <c r="AC32" s="3">
        <v>0.66</v>
      </c>
      <c r="AD32" s="3">
        <v>0.01</v>
      </c>
      <c r="AE32" s="3">
        <v>634</v>
      </c>
      <c r="AF32" s="3">
        <v>45</v>
      </c>
      <c r="AG32" s="3">
        <v>526</v>
      </c>
      <c r="AH32" s="3">
        <v>16</v>
      </c>
      <c r="AI32" s="3">
        <v>33</v>
      </c>
      <c r="AJ32" s="3">
        <v>15</v>
      </c>
    </row>
    <row r="33" spans="1:36" x14ac:dyDescent="0.25">
      <c r="A33" s="7">
        <v>90</v>
      </c>
      <c r="B33" s="3" t="s">
        <v>8</v>
      </c>
      <c r="C33" s="3" t="s">
        <v>324</v>
      </c>
      <c r="D33" s="3"/>
      <c r="E33" s="3">
        <v>45.6</v>
      </c>
      <c r="F33" s="3">
        <v>0.41</v>
      </c>
      <c r="G33" s="3">
        <v>1.0900000000000001</v>
      </c>
      <c r="H33" s="3">
        <v>7.0000000000000007E-2</v>
      </c>
      <c r="I33" s="3">
        <v>9.25</v>
      </c>
      <c r="J33" s="3">
        <v>0.14000000000000001</v>
      </c>
      <c r="K33" s="3">
        <v>0.46</v>
      </c>
      <c r="L33" s="3">
        <v>0.03</v>
      </c>
      <c r="M33" s="3">
        <v>18.5</v>
      </c>
      <c r="N33" s="3">
        <v>0.11</v>
      </c>
      <c r="O33" s="3">
        <v>0.38</v>
      </c>
      <c r="P33" s="3">
        <v>0.01</v>
      </c>
      <c r="Q33" s="3">
        <v>7.78</v>
      </c>
      <c r="R33" s="3">
        <v>0.11</v>
      </c>
      <c r="S33" s="3">
        <v>6.7</v>
      </c>
      <c r="T33" s="3">
        <v>0.05</v>
      </c>
      <c r="U33" s="3">
        <v>2.35</v>
      </c>
      <c r="V33" s="3">
        <v>0.23</v>
      </c>
      <c r="W33" s="3">
        <v>0.44</v>
      </c>
      <c r="X33" s="3">
        <v>0.06</v>
      </c>
      <c r="Y33" s="3">
        <v>0.86</v>
      </c>
      <c r="Z33" s="3">
        <v>7.0000000000000007E-2</v>
      </c>
      <c r="AA33" s="3">
        <v>5.81</v>
      </c>
      <c r="AB33" s="3">
        <v>7.0000000000000007E-2</v>
      </c>
      <c r="AC33" s="3">
        <v>0.6</v>
      </c>
      <c r="AD33" s="3">
        <v>0.01</v>
      </c>
      <c r="AE33" s="3">
        <v>456</v>
      </c>
      <c r="AF33" s="3">
        <v>43</v>
      </c>
      <c r="AG33" s="3">
        <v>320</v>
      </c>
      <c r="AH33" s="3">
        <v>14</v>
      </c>
      <c r="AI33" s="3">
        <v>232</v>
      </c>
      <c r="AJ33" s="3">
        <v>17</v>
      </c>
    </row>
    <row r="34" spans="1:36" x14ac:dyDescent="0.25">
      <c r="A34" s="7">
        <v>91</v>
      </c>
      <c r="B34" s="3" t="s">
        <v>3</v>
      </c>
      <c r="C34" s="3" t="s">
        <v>325</v>
      </c>
      <c r="D34" s="3"/>
      <c r="E34" s="3">
        <v>38.799999999999997</v>
      </c>
      <c r="F34" s="3">
        <v>0.39</v>
      </c>
      <c r="G34" s="3">
        <v>0.7</v>
      </c>
      <c r="H34" s="3">
        <v>7.0000000000000007E-2</v>
      </c>
      <c r="I34" s="3">
        <v>7.67</v>
      </c>
      <c r="J34" s="3">
        <v>0.11</v>
      </c>
      <c r="K34" s="3">
        <v>0.28000000000000003</v>
      </c>
      <c r="L34" s="3">
        <v>0.03</v>
      </c>
      <c r="M34" s="3">
        <v>30.9</v>
      </c>
      <c r="N34" s="3">
        <v>0.2</v>
      </c>
      <c r="O34" s="3">
        <v>0.28000000000000003</v>
      </c>
      <c r="P34" s="3">
        <v>0.01</v>
      </c>
      <c r="Q34" s="3">
        <v>7.27</v>
      </c>
      <c r="R34" s="3">
        <v>0.11</v>
      </c>
      <c r="S34" s="3">
        <v>4.93</v>
      </c>
      <c r="T34" s="3">
        <v>0.05</v>
      </c>
      <c r="U34" s="3">
        <v>2.34</v>
      </c>
      <c r="V34" s="3">
        <v>0.23</v>
      </c>
      <c r="W34" s="3">
        <v>0.34</v>
      </c>
      <c r="X34" s="3">
        <v>0.06</v>
      </c>
      <c r="Y34" s="3">
        <v>0.82</v>
      </c>
      <c r="Z34" s="3">
        <v>0.08</v>
      </c>
      <c r="AA34" s="3">
        <v>4.83</v>
      </c>
      <c r="AB34" s="3">
        <v>0.08</v>
      </c>
      <c r="AC34" s="3">
        <v>0.7</v>
      </c>
      <c r="AD34" s="3">
        <v>0.02</v>
      </c>
      <c r="AE34" s="3">
        <v>1089</v>
      </c>
      <c r="AF34" s="3">
        <v>66</v>
      </c>
      <c r="AG34" s="3">
        <v>361</v>
      </c>
      <c r="AH34" s="3">
        <v>22</v>
      </c>
      <c r="AI34" s="3">
        <v>53</v>
      </c>
      <c r="AJ34" s="3">
        <v>19</v>
      </c>
    </row>
    <row r="35" spans="1:36" x14ac:dyDescent="0.25">
      <c r="A35" s="7">
        <v>100</v>
      </c>
      <c r="B35" s="3" t="s">
        <v>3</v>
      </c>
      <c r="C35" s="3" t="s">
        <v>326</v>
      </c>
      <c r="D35" s="3"/>
      <c r="E35" s="3">
        <v>39.200000000000003</v>
      </c>
      <c r="F35" s="3">
        <v>0.39</v>
      </c>
      <c r="G35" s="3">
        <v>0.72</v>
      </c>
      <c r="H35" s="3">
        <v>7.0000000000000007E-2</v>
      </c>
      <c r="I35" s="3">
        <v>7.82</v>
      </c>
      <c r="J35" s="3">
        <v>0.11</v>
      </c>
      <c r="K35" s="3">
        <v>0.25</v>
      </c>
      <c r="L35" s="3">
        <v>0.03</v>
      </c>
      <c r="M35" s="3">
        <v>29.2</v>
      </c>
      <c r="N35" s="3">
        <v>0.18</v>
      </c>
      <c r="O35" s="3">
        <v>0.28000000000000003</v>
      </c>
      <c r="P35" s="3">
        <v>0.01</v>
      </c>
      <c r="Q35" s="3">
        <v>6.89</v>
      </c>
      <c r="R35" s="3">
        <v>0.11</v>
      </c>
      <c r="S35" s="3">
        <v>5.14</v>
      </c>
      <c r="T35" s="3">
        <v>0.05</v>
      </c>
      <c r="U35" s="3">
        <v>2.44</v>
      </c>
      <c r="V35" s="3">
        <v>0.23</v>
      </c>
      <c r="W35" s="3">
        <v>0.38</v>
      </c>
      <c r="X35" s="3">
        <v>0.06</v>
      </c>
      <c r="Y35" s="3">
        <v>0.82</v>
      </c>
      <c r="Z35" s="3">
        <v>0.08</v>
      </c>
      <c r="AA35" s="3">
        <v>5.95</v>
      </c>
      <c r="AB35" s="3">
        <v>0.08</v>
      </c>
      <c r="AC35" s="3">
        <v>0.77</v>
      </c>
      <c r="AD35" s="3">
        <v>0.02</v>
      </c>
      <c r="AE35" s="3">
        <v>773</v>
      </c>
      <c r="AF35" s="3">
        <v>60</v>
      </c>
      <c r="AG35" s="3">
        <v>331</v>
      </c>
      <c r="AH35" s="3">
        <v>20</v>
      </c>
      <c r="AI35" s="3">
        <v>46</v>
      </c>
      <c r="AJ35" s="3">
        <v>19</v>
      </c>
    </row>
    <row r="36" spans="1:36" x14ac:dyDescent="0.25">
      <c r="A36" s="7">
        <v>106</v>
      </c>
      <c r="B36" s="3" t="s">
        <v>4</v>
      </c>
      <c r="C36" s="3" t="s">
        <v>327</v>
      </c>
      <c r="D36" s="3"/>
      <c r="E36" s="3">
        <v>39.700000000000003</v>
      </c>
      <c r="F36" s="3">
        <v>0.39</v>
      </c>
      <c r="G36" s="3">
        <v>0.78</v>
      </c>
      <c r="H36" s="3">
        <v>7.0000000000000007E-2</v>
      </c>
      <c r="I36" s="3">
        <v>7.21</v>
      </c>
      <c r="J36" s="3">
        <v>0.11</v>
      </c>
      <c r="K36" s="3">
        <v>0.19</v>
      </c>
      <c r="L36" s="3">
        <v>0.03</v>
      </c>
      <c r="M36" s="3">
        <v>15.3</v>
      </c>
      <c r="N36" s="3">
        <v>0.11</v>
      </c>
      <c r="O36" s="3">
        <v>0.28999999999999998</v>
      </c>
      <c r="P36" s="3">
        <v>0.01</v>
      </c>
      <c r="Q36" s="3">
        <v>8.0299999999999994</v>
      </c>
      <c r="R36" s="3">
        <v>0.12</v>
      </c>
      <c r="S36" s="3">
        <v>5.1100000000000003</v>
      </c>
      <c r="T36" s="3">
        <v>0.04</v>
      </c>
      <c r="U36" s="3">
        <v>1.98</v>
      </c>
      <c r="V36" s="3">
        <v>0.25</v>
      </c>
      <c r="W36" s="3">
        <v>0.56999999999999995</v>
      </c>
      <c r="X36" s="3">
        <v>0.06</v>
      </c>
      <c r="Y36" s="3">
        <v>0.98</v>
      </c>
      <c r="Z36" s="3">
        <v>0.08</v>
      </c>
      <c r="AA36" s="3">
        <v>18.8</v>
      </c>
      <c r="AB36" s="3">
        <v>0.19</v>
      </c>
      <c r="AC36" s="3">
        <v>1</v>
      </c>
      <c r="AD36" s="3">
        <v>0.02</v>
      </c>
      <c r="AE36" s="3">
        <v>573</v>
      </c>
      <c r="AF36" s="3">
        <v>48</v>
      </c>
      <c r="AG36" s="3">
        <v>389</v>
      </c>
      <c r="AH36" s="3">
        <v>17</v>
      </c>
      <c r="AI36" s="3">
        <v>76</v>
      </c>
      <c r="AJ36" s="3">
        <v>16</v>
      </c>
    </row>
    <row r="37" spans="1:36" x14ac:dyDescent="0.25">
      <c r="A37" s="7">
        <v>108</v>
      </c>
      <c r="B37" s="3" t="s">
        <v>6</v>
      </c>
      <c r="C37" s="3" t="s">
        <v>328</v>
      </c>
      <c r="D37" s="3"/>
      <c r="E37" s="3">
        <v>37.200000000000003</v>
      </c>
      <c r="F37" s="3">
        <v>0.39</v>
      </c>
      <c r="G37" s="3">
        <v>0.77</v>
      </c>
      <c r="H37" s="3">
        <v>0.08</v>
      </c>
      <c r="I37" s="3">
        <v>6.22</v>
      </c>
      <c r="J37" s="3">
        <v>0.11</v>
      </c>
      <c r="K37" s="3">
        <v>0.18</v>
      </c>
      <c r="L37" s="3">
        <v>0.03</v>
      </c>
      <c r="M37" s="3">
        <v>14.3</v>
      </c>
      <c r="N37" s="3">
        <v>0.11</v>
      </c>
      <c r="O37" s="3">
        <v>0.28999999999999998</v>
      </c>
      <c r="P37" s="3">
        <v>0.01</v>
      </c>
      <c r="Q37" s="3">
        <v>8.8000000000000007</v>
      </c>
      <c r="R37" s="3">
        <v>0.15</v>
      </c>
      <c r="S37" s="3">
        <v>5.03</v>
      </c>
      <c r="T37" s="3">
        <v>0.05</v>
      </c>
      <c r="U37" s="3">
        <v>1.72</v>
      </c>
      <c r="V37" s="3">
        <v>0.32</v>
      </c>
      <c r="W37" s="3">
        <v>0.57999999999999996</v>
      </c>
      <c r="X37" s="3">
        <v>0.06</v>
      </c>
      <c r="Y37" s="3">
        <v>1.01</v>
      </c>
      <c r="Z37" s="3">
        <v>0.09</v>
      </c>
      <c r="AA37" s="3">
        <v>22.84</v>
      </c>
      <c r="AB37" s="3">
        <v>0.24</v>
      </c>
      <c r="AC37" s="3">
        <v>0.91</v>
      </c>
      <c r="AD37" s="3">
        <v>0.02</v>
      </c>
      <c r="AE37" s="3">
        <v>572</v>
      </c>
      <c r="AF37" s="3">
        <v>52</v>
      </c>
      <c r="AG37" s="3">
        <v>415</v>
      </c>
      <c r="AH37" s="3">
        <v>19</v>
      </c>
      <c r="AI37" s="3">
        <v>268</v>
      </c>
      <c r="AJ37" s="3">
        <v>20</v>
      </c>
    </row>
    <row r="38" spans="1:36" x14ac:dyDescent="0.25">
      <c r="A38" s="7">
        <v>122</v>
      </c>
      <c r="B38" s="3" t="s">
        <v>4</v>
      </c>
      <c r="C38" s="3" t="s">
        <v>329</v>
      </c>
      <c r="D38" s="3"/>
      <c r="E38" s="3">
        <v>44.3</v>
      </c>
      <c r="F38" s="3">
        <v>0.51</v>
      </c>
      <c r="G38" s="3">
        <v>0.51</v>
      </c>
      <c r="H38" s="3">
        <v>7.0000000000000007E-2</v>
      </c>
      <c r="I38" s="3">
        <v>6.2</v>
      </c>
      <c r="J38" s="3">
        <v>0.18</v>
      </c>
      <c r="K38" s="3">
        <v>0.5</v>
      </c>
      <c r="L38" s="3">
        <v>0.04</v>
      </c>
      <c r="M38" s="3">
        <v>19.8</v>
      </c>
      <c r="N38" s="3">
        <v>0.17</v>
      </c>
      <c r="O38" s="3">
        <v>0.36</v>
      </c>
      <c r="P38" s="3">
        <v>0.02</v>
      </c>
      <c r="Q38" s="3">
        <v>14.79</v>
      </c>
      <c r="R38" s="3">
        <v>0.23</v>
      </c>
      <c r="S38" s="3">
        <v>4.42</v>
      </c>
      <c r="T38" s="3">
        <v>0.06</v>
      </c>
      <c r="U38" s="3">
        <v>1.76</v>
      </c>
      <c r="V38" s="3">
        <v>0.34</v>
      </c>
      <c r="W38" s="3">
        <v>0.28999999999999998</v>
      </c>
      <c r="X38" s="3">
        <v>0.06</v>
      </c>
      <c r="Y38" s="3">
        <v>0.66</v>
      </c>
      <c r="Z38" s="3">
        <v>0.09</v>
      </c>
      <c r="AA38" s="3">
        <v>5.56</v>
      </c>
      <c r="AB38" s="3">
        <v>0.11</v>
      </c>
      <c r="AC38" s="3">
        <v>0.6</v>
      </c>
      <c r="AD38" s="3">
        <v>0.02</v>
      </c>
      <c r="AE38" s="3">
        <v>1639</v>
      </c>
      <c r="AF38" s="3">
        <v>89</v>
      </c>
      <c r="AG38" s="3">
        <v>207</v>
      </c>
      <c r="AH38" s="3">
        <v>25</v>
      </c>
      <c r="AI38" s="3">
        <v>47</v>
      </c>
      <c r="AJ38" s="3">
        <v>21</v>
      </c>
    </row>
    <row r="39" spans="1:36" x14ac:dyDescent="0.25">
      <c r="A39" s="7">
        <v>123</v>
      </c>
      <c r="B39" s="3" t="s">
        <v>3</v>
      </c>
      <c r="C39" s="3" t="s">
        <v>330</v>
      </c>
      <c r="D39" s="3"/>
      <c r="E39" s="3">
        <v>45.3</v>
      </c>
      <c r="F39" s="3">
        <v>0.5</v>
      </c>
      <c r="G39" s="3">
        <v>0.97</v>
      </c>
      <c r="H39" s="3">
        <v>0.08</v>
      </c>
      <c r="I39" s="3">
        <v>9.2100000000000009</v>
      </c>
      <c r="J39" s="3">
        <v>0.16</v>
      </c>
      <c r="K39" s="3">
        <v>0.36</v>
      </c>
      <c r="L39" s="3">
        <v>0.04</v>
      </c>
      <c r="M39" s="3">
        <v>17.600000000000001</v>
      </c>
      <c r="N39" s="3">
        <v>0.14000000000000001</v>
      </c>
      <c r="O39" s="3">
        <v>0.37</v>
      </c>
      <c r="P39" s="3">
        <v>0.02</v>
      </c>
      <c r="Q39" s="3">
        <v>7.61</v>
      </c>
      <c r="R39" s="3">
        <v>0.15</v>
      </c>
      <c r="S39" s="3">
        <v>6.73</v>
      </c>
      <c r="T39" s="3">
        <v>7.0000000000000007E-2</v>
      </c>
      <c r="U39" s="3">
        <v>2.38</v>
      </c>
      <c r="V39" s="3">
        <v>0.3</v>
      </c>
      <c r="W39" s="3">
        <v>0.51</v>
      </c>
      <c r="X39" s="3">
        <v>0.06</v>
      </c>
      <c r="Y39" s="3">
        <v>0.87</v>
      </c>
      <c r="Z39" s="3">
        <v>0.09</v>
      </c>
      <c r="AA39" s="3">
        <v>7.12</v>
      </c>
      <c r="AB39" s="3">
        <v>0.12</v>
      </c>
      <c r="AC39" s="3">
        <v>0.84</v>
      </c>
      <c r="AD39" s="3">
        <v>0.02</v>
      </c>
      <c r="AE39" s="3">
        <v>503</v>
      </c>
      <c r="AF39" s="3">
        <v>62</v>
      </c>
      <c r="AG39" s="3">
        <v>376</v>
      </c>
      <c r="AH39" s="3">
        <v>26</v>
      </c>
      <c r="AI39" s="3">
        <v>35</v>
      </c>
      <c r="AJ39" s="3">
        <v>19</v>
      </c>
    </row>
    <row r="40" spans="1:36" x14ac:dyDescent="0.25">
      <c r="A40" s="7">
        <v>139</v>
      </c>
      <c r="B40" s="3" t="s">
        <v>6</v>
      </c>
      <c r="C40" s="3" t="s">
        <v>331</v>
      </c>
      <c r="D40" s="3"/>
      <c r="E40" s="3">
        <v>35</v>
      </c>
      <c r="F40" s="3">
        <v>0.33</v>
      </c>
      <c r="G40" s="3">
        <v>0.79</v>
      </c>
      <c r="H40" s="3">
        <v>7.0000000000000007E-2</v>
      </c>
      <c r="I40" s="3">
        <v>5.87</v>
      </c>
      <c r="J40" s="3">
        <v>0.11</v>
      </c>
      <c r="K40" s="3">
        <v>0.2</v>
      </c>
      <c r="L40" s="3">
        <v>0.03</v>
      </c>
      <c r="M40" s="3">
        <v>15.7</v>
      </c>
      <c r="N40" s="3">
        <v>0.1</v>
      </c>
      <c r="O40" s="3">
        <v>0.32</v>
      </c>
      <c r="P40" s="3">
        <v>0.01</v>
      </c>
      <c r="Q40" s="3">
        <v>8.3800000000000008</v>
      </c>
      <c r="R40" s="3">
        <v>0.11</v>
      </c>
      <c r="S40" s="3">
        <v>5.03</v>
      </c>
      <c r="T40" s="3">
        <v>0.04</v>
      </c>
      <c r="U40" s="3">
        <v>1.36</v>
      </c>
      <c r="V40" s="3">
        <v>0.24</v>
      </c>
      <c r="W40" s="3">
        <v>0.57999999999999996</v>
      </c>
      <c r="X40" s="3">
        <v>0.06</v>
      </c>
      <c r="Y40" s="3">
        <v>1.03</v>
      </c>
      <c r="Z40" s="3">
        <v>0.08</v>
      </c>
      <c r="AA40" s="3">
        <v>24.94</v>
      </c>
      <c r="AB40" s="3">
        <v>0.22</v>
      </c>
      <c r="AC40" s="3">
        <v>0.65</v>
      </c>
      <c r="AD40" s="3">
        <v>0.01</v>
      </c>
      <c r="AE40" s="3">
        <v>679</v>
      </c>
      <c r="AF40" s="3">
        <v>47</v>
      </c>
      <c r="AG40" s="3">
        <v>533</v>
      </c>
      <c r="AH40" s="3">
        <v>17</v>
      </c>
      <c r="AI40" s="3">
        <v>35</v>
      </c>
      <c r="AJ40" s="3">
        <v>15</v>
      </c>
    </row>
    <row r="41" spans="1:36" x14ac:dyDescent="0.25">
      <c r="A41" s="7">
        <v>145</v>
      </c>
      <c r="B41" s="3" t="s">
        <v>6</v>
      </c>
      <c r="C41" s="3" t="s">
        <v>332</v>
      </c>
      <c r="D41" s="3"/>
      <c r="E41" s="3">
        <v>35.9</v>
      </c>
      <c r="F41" s="3">
        <v>0.39</v>
      </c>
      <c r="G41" s="3">
        <v>0.71</v>
      </c>
      <c r="H41" s="3">
        <v>7.0000000000000007E-2</v>
      </c>
      <c r="I41" s="3">
        <v>5.9</v>
      </c>
      <c r="J41" s="3">
        <v>0.12</v>
      </c>
      <c r="K41" s="3">
        <v>0.18</v>
      </c>
      <c r="L41" s="3">
        <v>0.03</v>
      </c>
      <c r="M41" s="3">
        <v>14.7</v>
      </c>
      <c r="N41" s="3">
        <v>0.12</v>
      </c>
      <c r="O41" s="3">
        <v>0.33</v>
      </c>
      <c r="P41" s="3">
        <v>0.01</v>
      </c>
      <c r="Q41" s="3">
        <v>9.1999999999999993</v>
      </c>
      <c r="R41" s="3">
        <v>0.17</v>
      </c>
      <c r="S41" s="3">
        <v>4.72</v>
      </c>
      <c r="T41" s="3">
        <v>0.05</v>
      </c>
      <c r="U41" s="3">
        <v>1.54</v>
      </c>
      <c r="V41" s="3">
        <v>0.39</v>
      </c>
      <c r="W41" s="3">
        <v>0.56999999999999995</v>
      </c>
      <c r="X41" s="3">
        <v>0.06</v>
      </c>
      <c r="Y41" s="3">
        <v>1.05</v>
      </c>
      <c r="Z41" s="3">
        <v>0.09</v>
      </c>
      <c r="AA41" s="3">
        <v>24.38</v>
      </c>
      <c r="AB41" s="3">
        <v>0.26</v>
      </c>
      <c r="AC41" s="3">
        <v>0.65</v>
      </c>
      <c r="AD41" s="3">
        <v>0.02</v>
      </c>
      <c r="AE41" s="3">
        <v>618</v>
      </c>
      <c r="AF41" s="3">
        <v>55</v>
      </c>
      <c r="AG41" s="3">
        <v>371</v>
      </c>
      <c r="AH41" s="3">
        <v>20</v>
      </c>
      <c r="AI41" s="3">
        <v>54</v>
      </c>
      <c r="AJ41" s="3">
        <v>17</v>
      </c>
    </row>
    <row r="42" spans="1:36" x14ac:dyDescent="0.25">
      <c r="A42" s="7">
        <v>147</v>
      </c>
      <c r="B42" s="3" t="s">
        <v>6</v>
      </c>
      <c r="C42" s="3" t="s">
        <v>333</v>
      </c>
      <c r="D42" s="3"/>
      <c r="E42" s="3">
        <v>36.9</v>
      </c>
      <c r="F42" s="3">
        <v>0.4</v>
      </c>
      <c r="G42" s="3">
        <v>0.84</v>
      </c>
      <c r="H42" s="3">
        <v>7.0000000000000007E-2</v>
      </c>
      <c r="I42" s="3">
        <v>6.32</v>
      </c>
      <c r="J42" s="3">
        <v>0.11</v>
      </c>
      <c r="K42" s="3">
        <v>0.21</v>
      </c>
      <c r="L42" s="3">
        <v>0.03</v>
      </c>
      <c r="M42" s="3">
        <v>15.5</v>
      </c>
      <c r="N42" s="3">
        <v>0.12</v>
      </c>
      <c r="O42" s="3">
        <v>0.39</v>
      </c>
      <c r="P42" s="3">
        <v>0.01</v>
      </c>
      <c r="Q42" s="3">
        <v>9</v>
      </c>
      <c r="R42" s="3">
        <v>0.14000000000000001</v>
      </c>
      <c r="S42" s="3">
        <v>4.43</v>
      </c>
      <c r="T42" s="3">
        <v>0.05</v>
      </c>
      <c r="U42" s="3">
        <v>1.83</v>
      </c>
      <c r="V42" s="3">
        <v>0.28999999999999998</v>
      </c>
      <c r="W42" s="3">
        <v>0.6</v>
      </c>
      <c r="X42" s="3">
        <v>0.06</v>
      </c>
      <c r="Y42" s="3">
        <v>1.07</v>
      </c>
      <c r="Z42" s="3">
        <v>0.09</v>
      </c>
      <c r="AA42" s="3">
        <v>22.09</v>
      </c>
      <c r="AB42" s="3">
        <v>0.24</v>
      </c>
      <c r="AC42" s="3">
        <v>0.6</v>
      </c>
      <c r="AD42" s="3">
        <v>0.02</v>
      </c>
      <c r="AE42" s="3">
        <v>664</v>
      </c>
      <c r="AF42" s="3">
        <v>58</v>
      </c>
      <c r="AG42" s="3">
        <v>381</v>
      </c>
      <c r="AH42" s="3">
        <v>22</v>
      </c>
      <c r="AI42" s="3">
        <v>74</v>
      </c>
      <c r="AJ42" s="3">
        <v>18</v>
      </c>
    </row>
    <row r="43" spans="1:36" x14ac:dyDescent="0.25">
      <c r="A43" s="7">
        <v>149</v>
      </c>
      <c r="B43" s="3" t="s">
        <v>6</v>
      </c>
      <c r="C43" s="3" t="s">
        <v>334</v>
      </c>
      <c r="D43" s="3"/>
      <c r="E43" s="3">
        <v>36.4</v>
      </c>
      <c r="F43" s="3">
        <v>0.4</v>
      </c>
      <c r="G43" s="3">
        <v>0.74</v>
      </c>
      <c r="H43" s="3">
        <v>7.0000000000000007E-2</v>
      </c>
      <c r="I43" s="3">
        <v>5.99</v>
      </c>
      <c r="J43" s="3">
        <v>0.11</v>
      </c>
      <c r="K43" s="3">
        <v>0.2</v>
      </c>
      <c r="L43" s="3">
        <v>0.03</v>
      </c>
      <c r="M43" s="3">
        <v>14.5</v>
      </c>
      <c r="N43" s="3">
        <v>0.12</v>
      </c>
      <c r="O43" s="3">
        <v>0.31</v>
      </c>
      <c r="P43" s="3">
        <v>0.01</v>
      </c>
      <c r="Q43" s="3">
        <v>9.14</v>
      </c>
      <c r="R43" s="3">
        <v>0.15</v>
      </c>
      <c r="S43" s="3">
        <v>4.8499999999999996</v>
      </c>
      <c r="T43" s="3">
        <v>0.05</v>
      </c>
      <c r="U43" s="3">
        <v>1.64</v>
      </c>
      <c r="V43" s="3">
        <v>0.28000000000000003</v>
      </c>
      <c r="W43" s="3">
        <v>0.56999999999999995</v>
      </c>
      <c r="X43" s="3">
        <v>0.06</v>
      </c>
      <c r="Y43" s="3">
        <v>1.1100000000000001</v>
      </c>
      <c r="Z43" s="3">
        <v>0.09</v>
      </c>
      <c r="AA43" s="3">
        <v>23.71</v>
      </c>
      <c r="AB43" s="3">
        <v>0.26</v>
      </c>
      <c r="AC43" s="3">
        <v>0.72</v>
      </c>
      <c r="AD43" s="3">
        <v>0.02</v>
      </c>
      <c r="AE43" s="3">
        <v>638</v>
      </c>
      <c r="AF43" s="3">
        <v>57</v>
      </c>
      <c r="AG43" s="3">
        <v>357</v>
      </c>
      <c r="AH43" s="3">
        <v>21</v>
      </c>
      <c r="AI43" s="3">
        <v>27</v>
      </c>
      <c r="AJ43" s="3">
        <v>18</v>
      </c>
    </row>
    <row r="44" spans="1:36" x14ac:dyDescent="0.25">
      <c r="A44" s="7">
        <v>153</v>
      </c>
      <c r="B44" s="3" t="s">
        <v>6</v>
      </c>
      <c r="C44" s="3" t="s">
        <v>335</v>
      </c>
      <c r="D44" s="3"/>
      <c r="E44" s="3">
        <v>38</v>
      </c>
      <c r="F44" s="3">
        <v>0.39</v>
      </c>
      <c r="G44" s="3">
        <v>0.83</v>
      </c>
      <c r="H44" s="3">
        <v>7.0000000000000007E-2</v>
      </c>
      <c r="I44" s="3">
        <v>6.36</v>
      </c>
      <c r="J44" s="3">
        <v>0.11</v>
      </c>
      <c r="K44" s="3">
        <v>0.19</v>
      </c>
      <c r="L44" s="3">
        <v>0.03</v>
      </c>
      <c r="M44" s="3">
        <v>14.8</v>
      </c>
      <c r="N44" s="3">
        <v>0.11</v>
      </c>
      <c r="O44" s="3">
        <v>0.33</v>
      </c>
      <c r="P44" s="3">
        <v>0.01</v>
      </c>
      <c r="Q44" s="3">
        <v>8.3800000000000008</v>
      </c>
      <c r="R44" s="3">
        <v>0.13</v>
      </c>
      <c r="S44" s="3">
        <v>4.6399999999999997</v>
      </c>
      <c r="T44" s="3">
        <v>0.05</v>
      </c>
      <c r="U44" s="3">
        <v>1.7</v>
      </c>
      <c r="V44" s="3">
        <v>0.28000000000000003</v>
      </c>
      <c r="W44" s="3">
        <v>0.57999999999999996</v>
      </c>
      <c r="X44" s="3">
        <v>0.06</v>
      </c>
      <c r="Y44" s="3">
        <v>1.07</v>
      </c>
      <c r="Z44" s="3">
        <v>0.09</v>
      </c>
      <c r="AA44" s="3">
        <v>21.5</v>
      </c>
      <c r="AB44" s="3">
        <v>0.23</v>
      </c>
      <c r="AC44" s="3">
        <v>1.45</v>
      </c>
      <c r="AD44" s="3">
        <v>0.03</v>
      </c>
      <c r="AE44" s="3">
        <v>604</v>
      </c>
      <c r="AF44" s="3">
        <v>53</v>
      </c>
      <c r="AG44" s="3">
        <v>319</v>
      </c>
      <c r="AH44" s="3">
        <v>18</v>
      </c>
      <c r="AI44" s="3">
        <v>39</v>
      </c>
      <c r="AJ44" s="3">
        <v>17</v>
      </c>
    </row>
    <row r="45" spans="1:36" x14ac:dyDescent="0.25">
      <c r="A45" s="7">
        <v>155</v>
      </c>
      <c r="B45" s="3" t="s">
        <v>6</v>
      </c>
      <c r="C45" s="3" t="s">
        <v>336</v>
      </c>
      <c r="D45" s="3"/>
      <c r="E45" s="3">
        <v>36.200000000000003</v>
      </c>
      <c r="F45" s="3">
        <v>0.39</v>
      </c>
      <c r="G45" s="3">
        <v>0.8</v>
      </c>
      <c r="H45" s="3">
        <v>0.08</v>
      </c>
      <c r="I45" s="3">
        <v>5.85</v>
      </c>
      <c r="J45" s="3">
        <v>0.11</v>
      </c>
      <c r="K45" s="3">
        <v>0.2</v>
      </c>
      <c r="L45" s="3">
        <v>0.04</v>
      </c>
      <c r="M45" s="3">
        <v>15.2</v>
      </c>
      <c r="N45" s="3">
        <v>0.12</v>
      </c>
      <c r="O45" s="3">
        <v>0.33</v>
      </c>
      <c r="P45" s="3">
        <v>0.01</v>
      </c>
      <c r="Q45" s="3">
        <v>8.6300000000000008</v>
      </c>
      <c r="R45" s="3">
        <v>0.15</v>
      </c>
      <c r="S45" s="3">
        <v>4.8499999999999996</v>
      </c>
      <c r="T45" s="3">
        <v>0.05</v>
      </c>
      <c r="U45" s="3">
        <v>1.45</v>
      </c>
      <c r="V45" s="3">
        <v>0.31</v>
      </c>
      <c r="W45" s="3">
        <v>0.55000000000000004</v>
      </c>
      <c r="X45" s="3">
        <v>0.06</v>
      </c>
      <c r="Y45" s="3">
        <v>1.03</v>
      </c>
      <c r="Z45" s="3">
        <v>0.09</v>
      </c>
      <c r="AA45" s="3">
        <v>23.03</v>
      </c>
      <c r="AB45" s="3">
        <v>0.26</v>
      </c>
      <c r="AC45" s="3">
        <v>1.75</v>
      </c>
      <c r="AD45" s="3">
        <v>0.03</v>
      </c>
      <c r="AE45" s="3">
        <v>644</v>
      </c>
      <c r="AF45" s="3">
        <v>59</v>
      </c>
      <c r="AG45" s="3">
        <v>346</v>
      </c>
      <c r="AH45" s="3">
        <v>22</v>
      </c>
      <c r="AI45" s="3">
        <v>19</v>
      </c>
      <c r="AJ45" s="3">
        <v>17</v>
      </c>
    </row>
    <row r="46" spans="1:36" x14ac:dyDescent="0.25">
      <c r="A46" s="7">
        <v>162</v>
      </c>
      <c r="B46" s="3" t="s">
        <v>6</v>
      </c>
      <c r="C46" s="3" t="s">
        <v>337</v>
      </c>
      <c r="D46" s="3"/>
      <c r="E46" s="3">
        <v>37.6</v>
      </c>
      <c r="F46" s="3">
        <v>0.41</v>
      </c>
      <c r="G46" s="3">
        <v>0.75</v>
      </c>
      <c r="H46" s="3">
        <v>0.08</v>
      </c>
      <c r="I46" s="3">
        <v>6.2</v>
      </c>
      <c r="J46" s="3">
        <v>0.11</v>
      </c>
      <c r="K46" s="3">
        <v>0.21</v>
      </c>
      <c r="L46" s="3">
        <v>0.04</v>
      </c>
      <c r="M46" s="3">
        <v>15.8</v>
      </c>
      <c r="N46" s="3">
        <v>0.13</v>
      </c>
      <c r="O46" s="3">
        <v>0.31</v>
      </c>
      <c r="P46" s="3">
        <v>0.01</v>
      </c>
      <c r="Q46" s="3">
        <v>7.41</v>
      </c>
      <c r="R46" s="3">
        <v>0.13</v>
      </c>
      <c r="S46" s="3">
        <v>5.1100000000000003</v>
      </c>
      <c r="T46" s="3">
        <v>0.05</v>
      </c>
      <c r="U46" s="3">
        <v>1.58</v>
      </c>
      <c r="V46" s="3">
        <v>0.28999999999999998</v>
      </c>
      <c r="W46" s="3">
        <v>0.59</v>
      </c>
      <c r="X46" s="3">
        <v>0.06</v>
      </c>
      <c r="Y46" s="3">
        <v>1.17</v>
      </c>
      <c r="Z46" s="3">
        <v>0.09</v>
      </c>
      <c r="AA46" s="3">
        <v>21.11</v>
      </c>
      <c r="AB46" s="3">
        <v>0.24</v>
      </c>
      <c r="AC46" s="3">
        <v>1.98</v>
      </c>
      <c r="AD46" s="3">
        <v>0.04</v>
      </c>
      <c r="AE46" s="3">
        <v>616</v>
      </c>
      <c r="AF46" s="3">
        <v>59</v>
      </c>
      <c r="AG46" s="3">
        <v>437</v>
      </c>
      <c r="AH46" s="3">
        <v>24</v>
      </c>
      <c r="AI46" s="3">
        <v>11</v>
      </c>
      <c r="AJ46" s="3">
        <v>19</v>
      </c>
    </row>
    <row r="47" spans="1:36" x14ac:dyDescent="0.25">
      <c r="A47" s="7">
        <v>166</v>
      </c>
      <c r="B47" s="3" t="s">
        <v>3</v>
      </c>
      <c r="C47" s="3" t="s">
        <v>338</v>
      </c>
      <c r="D47" s="3"/>
      <c r="E47" s="3">
        <v>47.7</v>
      </c>
      <c r="F47" s="3">
        <v>0.49</v>
      </c>
      <c r="G47" s="3">
        <v>0.85</v>
      </c>
      <c r="H47" s="3">
        <v>0.08</v>
      </c>
      <c r="I47" s="3">
        <v>10.039999999999999</v>
      </c>
      <c r="J47" s="3">
        <v>0.15</v>
      </c>
      <c r="K47" s="3">
        <v>0.34</v>
      </c>
      <c r="L47" s="3">
        <v>0.04</v>
      </c>
      <c r="M47" s="3">
        <v>16.600000000000001</v>
      </c>
      <c r="N47" s="3">
        <v>0.13</v>
      </c>
      <c r="O47" s="3">
        <v>0.39</v>
      </c>
      <c r="P47" s="3">
        <v>0.01</v>
      </c>
      <c r="Q47" s="3">
        <v>7.14</v>
      </c>
      <c r="R47" s="3">
        <v>0.13</v>
      </c>
      <c r="S47" s="3">
        <v>7.32</v>
      </c>
      <c r="T47" s="3">
        <v>0.06</v>
      </c>
      <c r="U47" s="3">
        <v>2.4</v>
      </c>
      <c r="V47" s="3">
        <v>0.28000000000000003</v>
      </c>
      <c r="W47" s="3">
        <v>0.55000000000000004</v>
      </c>
      <c r="X47" s="3">
        <v>0.06</v>
      </c>
      <c r="Y47" s="3">
        <v>0.81</v>
      </c>
      <c r="Z47" s="3">
        <v>0.08</v>
      </c>
      <c r="AA47" s="3">
        <v>5.19</v>
      </c>
      <c r="AB47" s="3">
        <v>0.09</v>
      </c>
      <c r="AC47" s="3">
        <v>0.64</v>
      </c>
      <c r="AD47" s="3">
        <v>0.02</v>
      </c>
      <c r="AE47" s="3">
        <v>339</v>
      </c>
      <c r="AF47" s="3">
        <v>52</v>
      </c>
      <c r="AG47" s="3">
        <v>226</v>
      </c>
      <c r="AH47" s="3">
        <v>19</v>
      </c>
      <c r="AI47" s="3">
        <v>25</v>
      </c>
      <c r="AJ47" s="3">
        <v>17</v>
      </c>
    </row>
    <row r="48" spans="1:36" x14ac:dyDescent="0.25">
      <c r="A48" s="7">
        <v>175</v>
      </c>
      <c r="B48" s="3" t="s">
        <v>4</v>
      </c>
      <c r="C48" s="3" t="s">
        <v>339</v>
      </c>
      <c r="D48" s="3"/>
      <c r="E48" s="3">
        <v>41.5</v>
      </c>
      <c r="F48" s="3">
        <v>0.42</v>
      </c>
      <c r="G48" s="3">
        <v>0.83</v>
      </c>
      <c r="H48" s="3">
        <v>7.0000000000000007E-2</v>
      </c>
      <c r="I48" s="3">
        <v>7.89</v>
      </c>
      <c r="J48" s="3">
        <v>0.13</v>
      </c>
      <c r="K48" s="3">
        <v>0.22</v>
      </c>
      <c r="L48" s="3">
        <v>0.03</v>
      </c>
      <c r="M48" s="3">
        <v>15.7</v>
      </c>
      <c r="N48" s="3">
        <v>0.11</v>
      </c>
      <c r="O48" s="3">
        <v>0.25</v>
      </c>
      <c r="P48" s="3">
        <v>0.01</v>
      </c>
      <c r="Q48" s="3">
        <v>8.2899999999999991</v>
      </c>
      <c r="R48" s="3">
        <v>0.13</v>
      </c>
      <c r="S48" s="3">
        <v>5.45</v>
      </c>
      <c r="T48" s="3">
        <v>0.05</v>
      </c>
      <c r="U48" s="3">
        <v>2.11</v>
      </c>
      <c r="V48" s="3">
        <v>0.25</v>
      </c>
      <c r="W48" s="3">
        <v>0.56000000000000005</v>
      </c>
      <c r="X48" s="3">
        <v>0.06</v>
      </c>
      <c r="Y48" s="3">
        <v>0.99</v>
      </c>
      <c r="Z48" s="3">
        <v>0.08</v>
      </c>
      <c r="AA48" s="3">
        <v>14.76</v>
      </c>
      <c r="AB48" s="3">
        <v>0.16</v>
      </c>
      <c r="AC48" s="3">
        <v>1.26</v>
      </c>
      <c r="AD48" s="3">
        <v>0.02</v>
      </c>
      <c r="AE48" s="3">
        <v>465</v>
      </c>
      <c r="AF48" s="3">
        <v>48</v>
      </c>
      <c r="AG48" s="3">
        <v>388</v>
      </c>
      <c r="AH48" s="3">
        <v>18</v>
      </c>
      <c r="AI48" s="3">
        <v>108</v>
      </c>
      <c r="AJ48" s="3">
        <v>17</v>
      </c>
    </row>
    <row r="49" spans="1:36" x14ac:dyDescent="0.25">
      <c r="A49" s="7">
        <v>178</v>
      </c>
      <c r="B49" s="3" t="s">
        <v>93</v>
      </c>
      <c r="C49" s="3" t="s">
        <v>340</v>
      </c>
      <c r="D49" s="3"/>
      <c r="E49" s="3">
        <v>40.6</v>
      </c>
      <c r="F49" s="3">
        <v>0.34</v>
      </c>
      <c r="G49" s="3">
        <v>0.79</v>
      </c>
      <c r="H49" s="3">
        <v>7.0000000000000007E-2</v>
      </c>
      <c r="I49" s="3">
        <v>6.71</v>
      </c>
      <c r="J49" s="3">
        <v>0.1</v>
      </c>
      <c r="K49" s="3">
        <v>0.17</v>
      </c>
      <c r="L49" s="3">
        <v>0.03</v>
      </c>
      <c r="M49" s="3">
        <v>15.4</v>
      </c>
      <c r="N49" s="3">
        <v>0.09</v>
      </c>
      <c r="O49" s="3">
        <v>0.33</v>
      </c>
      <c r="P49" s="3">
        <v>0.01</v>
      </c>
      <c r="Q49" s="3">
        <v>6.47</v>
      </c>
      <c r="R49" s="3">
        <v>0.1</v>
      </c>
      <c r="S49" s="3">
        <v>5.09</v>
      </c>
      <c r="T49" s="3">
        <v>0.05</v>
      </c>
      <c r="U49" s="3">
        <v>1.72</v>
      </c>
      <c r="V49" s="3">
        <v>0.23</v>
      </c>
      <c r="W49" s="3">
        <v>0.63</v>
      </c>
      <c r="X49" s="3">
        <v>0.06</v>
      </c>
      <c r="Y49" s="3">
        <v>1.05</v>
      </c>
      <c r="Z49" s="3">
        <v>0.08</v>
      </c>
      <c r="AA49" s="3">
        <v>19.62</v>
      </c>
      <c r="AB49" s="3">
        <v>0.19</v>
      </c>
      <c r="AC49" s="3">
        <v>1.37</v>
      </c>
      <c r="AD49" s="3">
        <v>0.03</v>
      </c>
      <c r="AE49" s="3">
        <v>531</v>
      </c>
      <c r="AF49" s="3">
        <v>52</v>
      </c>
      <c r="AG49" s="3">
        <v>444</v>
      </c>
      <c r="AH49" s="3">
        <v>20</v>
      </c>
      <c r="AI49" s="3">
        <v>23</v>
      </c>
      <c r="AJ49" s="3">
        <v>16</v>
      </c>
    </row>
    <row r="50" spans="1:36" x14ac:dyDescent="0.25">
      <c r="A50" s="7">
        <v>180</v>
      </c>
      <c r="B50" s="3" t="s">
        <v>94</v>
      </c>
      <c r="C50" s="3" t="s">
        <v>341</v>
      </c>
      <c r="D50" s="3"/>
      <c r="E50" s="3">
        <v>40.1</v>
      </c>
      <c r="F50" s="3">
        <v>0.44</v>
      </c>
      <c r="G50" s="3">
        <v>0.81</v>
      </c>
      <c r="H50" s="3">
        <v>7.0000000000000007E-2</v>
      </c>
      <c r="I50" s="3">
        <v>6.7</v>
      </c>
      <c r="J50" s="3">
        <v>0.13</v>
      </c>
      <c r="K50" s="3">
        <v>0.22</v>
      </c>
      <c r="L50" s="3">
        <v>0.04</v>
      </c>
      <c r="M50" s="3">
        <v>15.5</v>
      </c>
      <c r="N50" s="3">
        <v>0.13</v>
      </c>
      <c r="O50" s="3">
        <v>0.31</v>
      </c>
      <c r="P50" s="3">
        <v>0.01</v>
      </c>
      <c r="Q50" s="3">
        <v>6.49</v>
      </c>
      <c r="R50" s="3">
        <v>0.14000000000000001</v>
      </c>
      <c r="S50" s="3">
        <v>5.03</v>
      </c>
      <c r="T50" s="3">
        <v>0.06</v>
      </c>
      <c r="U50" s="3">
        <v>1.71</v>
      </c>
      <c r="V50" s="3">
        <v>0.31</v>
      </c>
      <c r="W50" s="3">
        <v>0.63</v>
      </c>
      <c r="X50" s="3">
        <v>0.06</v>
      </c>
      <c r="Y50" s="3">
        <v>1.06</v>
      </c>
      <c r="Z50" s="3">
        <v>0.09</v>
      </c>
      <c r="AA50" s="3">
        <v>19.64</v>
      </c>
      <c r="AB50" s="3">
        <v>0.23</v>
      </c>
      <c r="AC50" s="3">
        <v>1.64</v>
      </c>
      <c r="AD50" s="3">
        <v>0.03</v>
      </c>
      <c r="AE50" s="3">
        <v>611</v>
      </c>
      <c r="AF50" s="3">
        <v>61</v>
      </c>
      <c r="AG50" s="3">
        <v>486</v>
      </c>
      <c r="AH50" s="3">
        <v>26</v>
      </c>
      <c r="AI50" s="3">
        <v>14</v>
      </c>
      <c r="AJ50" s="3">
        <v>19</v>
      </c>
    </row>
    <row r="51" spans="1:36" x14ac:dyDescent="0.25">
      <c r="A51" s="7">
        <v>184</v>
      </c>
      <c r="B51" s="3" t="s">
        <v>6</v>
      </c>
      <c r="C51" s="3" t="s">
        <v>342</v>
      </c>
      <c r="D51" s="3"/>
      <c r="E51" s="3">
        <v>43</v>
      </c>
      <c r="F51" s="3">
        <v>0.46</v>
      </c>
      <c r="G51" s="3">
        <v>0.86</v>
      </c>
      <c r="H51" s="3">
        <v>0.08</v>
      </c>
      <c r="I51" s="3">
        <v>7.27</v>
      </c>
      <c r="J51" s="3">
        <v>0.13</v>
      </c>
      <c r="K51" s="3">
        <v>0.2</v>
      </c>
      <c r="L51" s="3">
        <v>0.04</v>
      </c>
      <c r="M51" s="3">
        <v>15.6</v>
      </c>
      <c r="N51" s="3">
        <v>0.12</v>
      </c>
      <c r="O51" s="3">
        <v>0.32</v>
      </c>
      <c r="P51" s="3">
        <v>0.01</v>
      </c>
      <c r="Q51" s="3">
        <v>5.43</v>
      </c>
      <c r="R51" s="3">
        <v>0.13</v>
      </c>
      <c r="S51" s="3">
        <v>4.5999999999999996</v>
      </c>
      <c r="T51" s="3">
        <v>0.05</v>
      </c>
      <c r="U51" s="3">
        <v>1.93</v>
      </c>
      <c r="V51" s="3">
        <v>0.31</v>
      </c>
      <c r="W51" s="3">
        <v>0.69</v>
      </c>
      <c r="X51" s="3">
        <v>0.06</v>
      </c>
      <c r="Y51" s="3">
        <v>1.1499999999999999</v>
      </c>
      <c r="Z51" s="3">
        <v>0.09</v>
      </c>
      <c r="AA51" s="3">
        <v>17.010000000000002</v>
      </c>
      <c r="AB51" s="3">
        <v>0.21</v>
      </c>
      <c r="AC51" s="3">
        <v>1.9</v>
      </c>
      <c r="AD51" s="3">
        <v>0.03</v>
      </c>
      <c r="AE51" s="3">
        <v>546</v>
      </c>
      <c r="AF51" s="3">
        <v>58</v>
      </c>
      <c r="AG51" s="3">
        <v>447</v>
      </c>
      <c r="AH51" s="3">
        <v>24</v>
      </c>
      <c r="AI51" s="3">
        <v>9</v>
      </c>
      <c r="AJ51" s="3">
        <v>17</v>
      </c>
    </row>
    <row r="52" spans="1:36" x14ac:dyDescent="0.25">
      <c r="A52" s="7">
        <v>187</v>
      </c>
      <c r="B52" s="3" t="s">
        <v>6</v>
      </c>
      <c r="C52" s="3" t="s">
        <v>343</v>
      </c>
      <c r="D52" s="3"/>
      <c r="E52" s="3">
        <v>39.9</v>
      </c>
      <c r="F52" s="3">
        <v>0.37</v>
      </c>
      <c r="G52" s="3">
        <v>0.86</v>
      </c>
      <c r="H52" s="3">
        <v>0.08</v>
      </c>
      <c r="I52" s="3">
        <v>7.17</v>
      </c>
      <c r="J52" s="3">
        <v>0.11</v>
      </c>
      <c r="K52" s="3">
        <v>0.22</v>
      </c>
      <c r="L52" s="3">
        <v>0.04</v>
      </c>
      <c r="M52" s="3">
        <v>17.100000000000001</v>
      </c>
      <c r="N52" s="3">
        <v>0.12</v>
      </c>
      <c r="O52" s="3">
        <v>0.36</v>
      </c>
      <c r="P52" s="3">
        <v>0.01</v>
      </c>
      <c r="Q52" s="3">
        <v>5.45</v>
      </c>
      <c r="R52" s="3">
        <v>0.11</v>
      </c>
      <c r="S52" s="3">
        <v>5.48</v>
      </c>
      <c r="T52" s="3">
        <v>0.06</v>
      </c>
      <c r="U52" s="3">
        <v>1.79</v>
      </c>
      <c r="V52" s="3">
        <v>0.25</v>
      </c>
      <c r="W52" s="3">
        <v>0.67</v>
      </c>
      <c r="X52" s="3">
        <v>7.0000000000000007E-2</v>
      </c>
      <c r="Y52" s="3">
        <v>1.1100000000000001</v>
      </c>
      <c r="Z52" s="3">
        <v>0.09</v>
      </c>
      <c r="AA52" s="3">
        <v>18.170000000000002</v>
      </c>
      <c r="AB52" s="3">
        <v>0.2</v>
      </c>
      <c r="AC52" s="3">
        <v>1.67</v>
      </c>
      <c r="AD52" s="3">
        <v>0.03</v>
      </c>
      <c r="AE52" s="3">
        <v>606</v>
      </c>
      <c r="AF52" s="3">
        <v>64</v>
      </c>
      <c r="AG52" s="3">
        <v>489</v>
      </c>
      <c r="AH52" s="3">
        <v>27</v>
      </c>
      <c r="AI52" s="3">
        <v>13</v>
      </c>
      <c r="AJ52" s="3">
        <v>18</v>
      </c>
    </row>
    <row r="53" spans="1:36" x14ac:dyDescent="0.25">
      <c r="A53" s="7">
        <v>195</v>
      </c>
      <c r="B53" s="3" t="s">
        <v>6</v>
      </c>
      <c r="C53" s="3" t="s">
        <v>344</v>
      </c>
      <c r="D53" s="3"/>
      <c r="E53" s="3">
        <v>37.9</v>
      </c>
      <c r="F53" s="3">
        <v>0.42</v>
      </c>
      <c r="G53" s="3">
        <v>0.77</v>
      </c>
      <c r="H53" s="3">
        <v>7.0000000000000007E-2</v>
      </c>
      <c r="I53" s="3">
        <v>6.52</v>
      </c>
      <c r="J53" s="3">
        <v>0.12</v>
      </c>
      <c r="K53" s="3">
        <v>0.23</v>
      </c>
      <c r="L53" s="3">
        <v>0.04</v>
      </c>
      <c r="M53" s="3">
        <v>17.7</v>
      </c>
      <c r="N53" s="3">
        <v>0.14000000000000001</v>
      </c>
      <c r="O53" s="3">
        <v>0.37</v>
      </c>
      <c r="P53" s="3">
        <v>0.02</v>
      </c>
      <c r="Q53" s="3">
        <v>6.81</v>
      </c>
      <c r="R53" s="3">
        <v>0.13</v>
      </c>
      <c r="S53" s="3">
        <v>5.01</v>
      </c>
      <c r="T53" s="3">
        <v>0.05</v>
      </c>
      <c r="U53" s="3">
        <v>1.86</v>
      </c>
      <c r="V53" s="3">
        <v>0.28999999999999998</v>
      </c>
      <c r="W53" s="3">
        <v>0.6</v>
      </c>
      <c r="X53" s="3">
        <v>0.06</v>
      </c>
      <c r="Y53" s="3">
        <v>1.01</v>
      </c>
      <c r="Z53" s="3">
        <v>0.09</v>
      </c>
      <c r="AA53" s="3">
        <v>19.329999999999998</v>
      </c>
      <c r="AB53" s="3">
        <v>0.23</v>
      </c>
      <c r="AC53" s="3">
        <v>1.69</v>
      </c>
      <c r="AD53" s="3">
        <v>0.03</v>
      </c>
      <c r="AE53" s="3">
        <v>933</v>
      </c>
      <c r="AF53" s="3">
        <v>67</v>
      </c>
      <c r="AG53" s="3">
        <v>499</v>
      </c>
      <c r="AH53" s="3">
        <v>26</v>
      </c>
      <c r="AI53" s="3">
        <v>10</v>
      </c>
      <c r="AJ53" s="3">
        <v>19</v>
      </c>
    </row>
    <row r="54" spans="1:36" x14ac:dyDescent="0.25">
      <c r="A54" s="7">
        <v>199</v>
      </c>
      <c r="B54" s="3" t="s">
        <v>4</v>
      </c>
      <c r="C54" s="3" t="s">
        <v>345</v>
      </c>
      <c r="D54" s="3"/>
      <c r="E54" s="3">
        <v>42.2</v>
      </c>
      <c r="F54" s="3">
        <v>0.46</v>
      </c>
      <c r="G54" s="3">
        <v>0.91</v>
      </c>
      <c r="H54" s="3">
        <v>7.0000000000000007E-2</v>
      </c>
      <c r="I54" s="3">
        <v>7.83</v>
      </c>
      <c r="J54" s="3">
        <v>0.14000000000000001</v>
      </c>
      <c r="K54" s="3">
        <v>0.28999999999999998</v>
      </c>
      <c r="L54" s="3">
        <v>0.04</v>
      </c>
      <c r="M54" s="3">
        <v>16</v>
      </c>
      <c r="N54" s="3">
        <v>0.13</v>
      </c>
      <c r="O54" s="3">
        <v>0.34</v>
      </c>
      <c r="P54" s="3">
        <v>0.01</v>
      </c>
      <c r="Q54" s="3">
        <v>7.87</v>
      </c>
      <c r="R54" s="3">
        <v>0.15</v>
      </c>
      <c r="S54" s="3">
        <v>5.84</v>
      </c>
      <c r="T54" s="3">
        <v>0.06</v>
      </c>
      <c r="U54" s="3">
        <v>2.11</v>
      </c>
      <c r="V54" s="3">
        <v>0.31</v>
      </c>
      <c r="W54" s="3">
        <v>0.55000000000000004</v>
      </c>
      <c r="X54" s="3">
        <v>0.06</v>
      </c>
      <c r="Y54" s="3">
        <v>0.96</v>
      </c>
      <c r="Z54" s="3">
        <v>0.09</v>
      </c>
      <c r="AA54" s="3">
        <v>14.03</v>
      </c>
      <c r="AB54" s="3">
        <v>0.18</v>
      </c>
      <c r="AC54" s="3">
        <v>0.94</v>
      </c>
      <c r="AD54" s="3">
        <v>0.02</v>
      </c>
      <c r="AE54" s="3">
        <v>540</v>
      </c>
      <c r="AF54" s="3">
        <v>59</v>
      </c>
      <c r="AG54" s="3">
        <v>380</v>
      </c>
      <c r="AH54" s="3">
        <v>23</v>
      </c>
      <c r="AI54" s="3">
        <v>187</v>
      </c>
      <c r="AJ54" s="3">
        <v>20</v>
      </c>
    </row>
    <row r="55" spans="1:36" x14ac:dyDescent="0.25">
      <c r="A55" s="7">
        <v>211</v>
      </c>
      <c r="B55" s="3" t="s">
        <v>297</v>
      </c>
      <c r="C55" s="3" t="s">
        <v>346</v>
      </c>
      <c r="D55" s="3"/>
      <c r="E55" s="3">
        <v>43.7</v>
      </c>
      <c r="F55" s="3">
        <v>0.98</v>
      </c>
      <c r="G55" s="3">
        <v>0.55000000000000004</v>
      </c>
      <c r="H55" s="3">
        <v>0.25</v>
      </c>
      <c r="I55" s="3">
        <v>9.8800000000000008</v>
      </c>
      <c r="J55" s="3">
        <v>0.41</v>
      </c>
      <c r="K55" s="3">
        <v>0.55000000000000004</v>
      </c>
      <c r="L55" s="3">
        <v>0.1</v>
      </c>
      <c r="M55" s="3">
        <v>18.8</v>
      </c>
      <c r="N55" s="3">
        <v>0.39</v>
      </c>
      <c r="O55" s="3">
        <v>0.38</v>
      </c>
      <c r="P55" s="3">
        <v>0.12</v>
      </c>
      <c r="Q55" s="3">
        <v>15.83</v>
      </c>
      <c r="R55" s="3">
        <v>0.49</v>
      </c>
      <c r="S55" s="3">
        <v>5.15</v>
      </c>
      <c r="T55" s="3">
        <v>0.2</v>
      </c>
      <c r="U55" s="3">
        <v>3.01</v>
      </c>
      <c r="V55" s="3">
        <v>1.05</v>
      </c>
      <c r="W55" s="3">
        <v>0.33</v>
      </c>
      <c r="X55" s="3">
        <v>0.09</v>
      </c>
      <c r="Y55" s="3">
        <v>0.48</v>
      </c>
      <c r="Z55" s="3">
        <v>0.33</v>
      </c>
      <c r="AA55" s="3">
        <v>0.88</v>
      </c>
      <c r="AB55" s="3">
        <v>0.17</v>
      </c>
      <c r="AC55" s="3">
        <v>0.31</v>
      </c>
      <c r="AD55" s="3">
        <v>0.05</v>
      </c>
      <c r="AE55" s="3">
        <v>377</v>
      </c>
      <c r="AF55" s="3">
        <v>197</v>
      </c>
      <c r="AG55" s="3">
        <v>326</v>
      </c>
      <c r="AH55" s="3">
        <v>103</v>
      </c>
      <c r="AI55" s="3">
        <v>0</v>
      </c>
      <c r="AJ55" s="3">
        <v>10</v>
      </c>
    </row>
    <row r="56" spans="1:36" x14ac:dyDescent="0.25">
      <c r="A56" s="7">
        <v>214</v>
      </c>
      <c r="B56" s="3" t="s">
        <v>4</v>
      </c>
      <c r="C56" s="3" t="s">
        <v>347</v>
      </c>
      <c r="D56" s="3"/>
      <c r="E56" s="3">
        <v>41.9</v>
      </c>
      <c r="F56" s="3">
        <v>0.41</v>
      </c>
      <c r="G56" s="3">
        <v>0.81</v>
      </c>
      <c r="H56" s="3">
        <v>7.0000000000000007E-2</v>
      </c>
      <c r="I56" s="3">
        <v>7.81</v>
      </c>
      <c r="J56" s="3">
        <v>0.12</v>
      </c>
      <c r="K56" s="3">
        <v>0.25</v>
      </c>
      <c r="L56" s="3">
        <v>0.03</v>
      </c>
      <c r="M56" s="3">
        <v>15.1</v>
      </c>
      <c r="N56" s="3">
        <v>0.11</v>
      </c>
      <c r="O56" s="3">
        <v>0.27</v>
      </c>
      <c r="P56" s="3">
        <v>0.01</v>
      </c>
      <c r="Q56" s="3">
        <v>7.67</v>
      </c>
      <c r="R56" s="3">
        <v>0.13</v>
      </c>
      <c r="S56" s="3">
        <v>5.72</v>
      </c>
      <c r="T56" s="3">
        <v>0.05</v>
      </c>
      <c r="U56" s="3">
        <v>2.63</v>
      </c>
      <c r="V56" s="3">
        <v>0.27</v>
      </c>
      <c r="W56" s="3">
        <v>0.59</v>
      </c>
      <c r="X56" s="3">
        <v>0.06</v>
      </c>
      <c r="Y56" s="3">
        <v>1.01</v>
      </c>
      <c r="Z56" s="3">
        <v>0.08</v>
      </c>
      <c r="AA56" s="3">
        <v>14.42</v>
      </c>
      <c r="AB56" s="3">
        <v>0.16</v>
      </c>
      <c r="AC56" s="3">
        <v>1.67</v>
      </c>
      <c r="AD56" s="3">
        <v>0.03</v>
      </c>
      <c r="AE56" s="3">
        <v>435</v>
      </c>
      <c r="AF56" s="3">
        <v>50</v>
      </c>
      <c r="AG56" s="3">
        <v>352</v>
      </c>
      <c r="AH56" s="3">
        <v>18</v>
      </c>
      <c r="AI56" s="3">
        <v>607</v>
      </c>
      <c r="AJ56" s="3">
        <v>24</v>
      </c>
    </row>
    <row r="57" spans="1:36" x14ac:dyDescent="0.25">
      <c r="A57" s="7">
        <v>216</v>
      </c>
      <c r="B57" s="3" t="s">
        <v>5</v>
      </c>
      <c r="C57" s="3" t="s">
        <v>348</v>
      </c>
      <c r="D57" s="3"/>
      <c r="E57" s="3">
        <v>41.5</v>
      </c>
      <c r="F57" s="3">
        <v>0.25</v>
      </c>
      <c r="G57" s="3">
        <v>0.79</v>
      </c>
      <c r="H57" s="3">
        <v>7.0000000000000007E-2</v>
      </c>
      <c r="I57" s="3">
        <v>7.59</v>
      </c>
      <c r="J57" s="3">
        <v>0.08</v>
      </c>
      <c r="K57" s="3">
        <v>0.21</v>
      </c>
      <c r="L57" s="3">
        <v>0.03</v>
      </c>
      <c r="M57" s="3">
        <v>14.8</v>
      </c>
      <c r="N57" s="3">
        <v>0.06</v>
      </c>
      <c r="O57" s="3">
        <v>0.28000000000000003</v>
      </c>
      <c r="P57" s="3">
        <v>0.01</v>
      </c>
      <c r="Q57" s="3">
        <v>7.57</v>
      </c>
      <c r="R57" s="3">
        <v>0.08</v>
      </c>
      <c r="S57" s="3">
        <v>5.66</v>
      </c>
      <c r="T57" s="3">
        <v>0.04</v>
      </c>
      <c r="U57" s="3">
        <v>2.46</v>
      </c>
      <c r="V57" s="3">
        <v>0.2</v>
      </c>
      <c r="W57" s="3">
        <v>0.61</v>
      </c>
      <c r="X57" s="3">
        <v>0.06</v>
      </c>
      <c r="Y57" s="3">
        <v>1</v>
      </c>
      <c r="Z57" s="3">
        <v>7.0000000000000007E-2</v>
      </c>
      <c r="AA57" s="3">
        <v>15.61</v>
      </c>
      <c r="AB57" s="3">
        <v>0.13</v>
      </c>
      <c r="AC57" s="3">
        <v>1.72</v>
      </c>
      <c r="AD57" s="3">
        <v>0.02</v>
      </c>
      <c r="AE57" s="3">
        <v>449</v>
      </c>
      <c r="AF57" s="3">
        <v>44</v>
      </c>
      <c r="AG57" s="3">
        <v>287</v>
      </c>
      <c r="AH57" s="3">
        <v>14</v>
      </c>
      <c r="AI57" s="3">
        <v>608</v>
      </c>
      <c r="AJ57" s="3">
        <v>21</v>
      </c>
    </row>
    <row r="58" spans="1:36" x14ac:dyDescent="0.25">
      <c r="A58" s="7">
        <v>217</v>
      </c>
      <c r="B58" s="3" t="s">
        <v>4</v>
      </c>
      <c r="C58" s="3" t="s">
        <v>349</v>
      </c>
      <c r="D58" s="3"/>
      <c r="E58" s="3">
        <v>45.8</v>
      </c>
      <c r="F58" s="3">
        <v>0.45</v>
      </c>
      <c r="G58" s="3">
        <v>1.1100000000000001</v>
      </c>
      <c r="H58" s="3">
        <v>7.0000000000000007E-2</v>
      </c>
      <c r="I58" s="3">
        <v>9.32</v>
      </c>
      <c r="J58" s="3">
        <v>0.12</v>
      </c>
      <c r="K58" s="3">
        <v>0.5</v>
      </c>
      <c r="L58" s="3">
        <v>0.04</v>
      </c>
      <c r="M58" s="3">
        <v>18.5</v>
      </c>
      <c r="N58" s="3">
        <v>0.13</v>
      </c>
      <c r="O58" s="3">
        <v>0.41</v>
      </c>
      <c r="P58" s="3">
        <v>0.01</v>
      </c>
      <c r="Q58" s="3">
        <v>7.83</v>
      </c>
      <c r="R58" s="3">
        <v>0.12</v>
      </c>
      <c r="S58" s="3">
        <v>6.88</v>
      </c>
      <c r="T58" s="3">
        <v>0.06</v>
      </c>
      <c r="U58" s="3">
        <v>2.21</v>
      </c>
      <c r="V58" s="3">
        <v>0.26</v>
      </c>
      <c r="W58" s="3">
        <v>0.43</v>
      </c>
      <c r="X58" s="3">
        <v>0.06</v>
      </c>
      <c r="Y58" s="3">
        <v>0.86</v>
      </c>
      <c r="Z58" s="3">
        <v>0.08</v>
      </c>
      <c r="AA58" s="3">
        <v>5.49</v>
      </c>
      <c r="AB58" s="3">
        <v>0.08</v>
      </c>
      <c r="AC58" s="3">
        <v>0.62</v>
      </c>
      <c r="AD58" s="3">
        <v>0.02</v>
      </c>
      <c r="AE58" s="3">
        <v>395</v>
      </c>
      <c r="AF58" s="3">
        <v>50</v>
      </c>
      <c r="AG58" s="3">
        <v>281</v>
      </c>
      <c r="AH58" s="3">
        <v>18</v>
      </c>
      <c r="AI58" s="3">
        <v>69</v>
      </c>
      <c r="AJ58" s="3">
        <v>18</v>
      </c>
    </row>
    <row r="59" spans="1:36" x14ac:dyDescent="0.25">
      <c r="A59" s="7">
        <v>218</v>
      </c>
      <c r="B59" s="3" t="s">
        <v>5</v>
      </c>
      <c r="C59" s="3" t="s">
        <v>350</v>
      </c>
      <c r="D59" s="3"/>
      <c r="E59" s="3">
        <v>42.9</v>
      </c>
      <c r="F59" s="3">
        <v>0.41</v>
      </c>
      <c r="G59" s="3">
        <v>0.94</v>
      </c>
      <c r="H59" s="3">
        <v>7.0000000000000007E-2</v>
      </c>
      <c r="I59" s="3">
        <v>8.11</v>
      </c>
      <c r="J59" s="3">
        <v>0.13</v>
      </c>
      <c r="K59" s="3">
        <v>0.28000000000000003</v>
      </c>
      <c r="L59" s="3">
        <v>0.03</v>
      </c>
      <c r="M59" s="3">
        <v>17</v>
      </c>
      <c r="N59" s="3">
        <v>0.11</v>
      </c>
      <c r="O59" s="3">
        <v>0.31</v>
      </c>
      <c r="P59" s="3">
        <v>0.01</v>
      </c>
      <c r="Q59" s="3">
        <v>7.65</v>
      </c>
      <c r="R59" s="3">
        <v>0.11</v>
      </c>
      <c r="S59" s="3">
        <v>7.03</v>
      </c>
      <c r="T59" s="3">
        <v>0.05</v>
      </c>
      <c r="U59" s="3">
        <v>2.2200000000000002</v>
      </c>
      <c r="V59" s="3">
        <v>0.24</v>
      </c>
      <c r="W59" s="3">
        <v>0.52</v>
      </c>
      <c r="X59" s="3">
        <v>0.06</v>
      </c>
      <c r="Y59" s="3">
        <v>1.06</v>
      </c>
      <c r="Z59" s="3">
        <v>0.08</v>
      </c>
      <c r="AA59" s="3">
        <v>10.53</v>
      </c>
      <c r="AB59" s="3">
        <v>0.12</v>
      </c>
      <c r="AC59" s="3">
        <v>1.26</v>
      </c>
      <c r="AD59" s="3">
        <v>0.02</v>
      </c>
      <c r="AE59" s="3">
        <v>547</v>
      </c>
      <c r="AF59" s="3">
        <v>47</v>
      </c>
      <c r="AG59" s="3">
        <v>435</v>
      </c>
      <c r="AH59" s="3">
        <v>17</v>
      </c>
      <c r="AI59" s="3">
        <v>238</v>
      </c>
      <c r="AJ59" s="3">
        <v>18</v>
      </c>
    </row>
    <row r="60" spans="1:36" x14ac:dyDescent="0.25">
      <c r="A60" s="7">
        <v>220</v>
      </c>
      <c r="B60" s="3" t="s">
        <v>6</v>
      </c>
      <c r="C60" s="3" t="s">
        <v>351</v>
      </c>
      <c r="D60" s="3"/>
      <c r="E60" s="3">
        <v>36.5</v>
      </c>
      <c r="F60" s="3">
        <v>0.39</v>
      </c>
      <c r="G60" s="3">
        <v>0.75</v>
      </c>
      <c r="H60" s="3">
        <v>7.0000000000000007E-2</v>
      </c>
      <c r="I60" s="3">
        <v>6.06</v>
      </c>
      <c r="J60" s="3">
        <v>0.11</v>
      </c>
      <c r="K60" s="3">
        <v>0.18</v>
      </c>
      <c r="L60" s="3">
        <v>0.03</v>
      </c>
      <c r="M60" s="3">
        <v>15.7</v>
      </c>
      <c r="N60" s="3">
        <v>0.12</v>
      </c>
      <c r="O60" s="3">
        <v>0.24</v>
      </c>
      <c r="P60" s="3">
        <v>0.01</v>
      </c>
      <c r="Q60" s="3">
        <v>8.3699999999999992</v>
      </c>
      <c r="R60" s="3">
        <v>0.13</v>
      </c>
      <c r="S60" s="3">
        <v>5</v>
      </c>
      <c r="T60" s="3">
        <v>0.05</v>
      </c>
      <c r="U60" s="3">
        <v>1.63</v>
      </c>
      <c r="V60" s="3">
        <v>0.28000000000000003</v>
      </c>
      <c r="W60" s="3">
        <v>0.56999999999999995</v>
      </c>
      <c r="X60" s="3">
        <v>0.06</v>
      </c>
      <c r="Y60" s="3">
        <v>1.01</v>
      </c>
      <c r="Z60" s="3">
        <v>0.09</v>
      </c>
      <c r="AA60" s="3">
        <v>23.03</v>
      </c>
      <c r="AB60" s="3">
        <v>0.25</v>
      </c>
      <c r="AC60" s="3">
        <v>0.78</v>
      </c>
      <c r="AD60" s="3">
        <v>0.02</v>
      </c>
      <c r="AE60" s="3">
        <v>564</v>
      </c>
      <c r="AF60" s="3">
        <v>55</v>
      </c>
      <c r="AG60" s="3">
        <v>314</v>
      </c>
      <c r="AH60" s="3">
        <v>19</v>
      </c>
      <c r="AI60" s="3">
        <v>425</v>
      </c>
      <c r="AJ60" s="3">
        <v>24</v>
      </c>
    </row>
    <row r="61" spans="1:36" x14ac:dyDescent="0.25">
      <c r="A61" s="7">
        <v>237</v>
      </c>
      <c r="B61" s="3" t="s">
        <v>3</v>
      </c>
      <c r="C61" s="3" t="s">
        <v>352</v>
      </c>
      <c r="D61" s="3"/>
      <c r="E61" s="3">
        <v>47.2</v>
      </c>
      <c r="F61" s="3">
        <v>1.4</v>
      </c>
      <c r="G61" s="3">
        <v>1.08</v>
      </c>
      <c r="H61" s="3">
        <v>0.28999999999999998</v>
      </c>
      <c r="I61" s="3">
        <v>9.58</v>
      </c>
      <c r="J61" s="3">
        <v>0.84</v>
      </c>
      <c r="K61" s="3">
        <v>0.42</v>
      </c>
      <c r="L61" s="3">
        <v>0.1</v>
      </c>
      <c r="M61" s="3">
        <v>17.8</v>
      </c>
      <c r="N61" s="3">
        <v>0.3</v>
      </c>
      <c r="O61" s="3">
        <v>0.27</v>
      </c>
      <c r="P61" s="3">
        <v>0.17</v>
      </c>
      <c r="Q61" s="3">
        <v>8.41</v>
      </c>
      <c r="R61" s="3">
        <v>0.86</v>
      </c>
      <c r="S61" s="3">
        <v>7.25</v>
      </c>
      <c r="T61" s="3">
        <v>0.2</v>
      </c>
      <c r="U61" s="3">
        <v>1.79</v>
      </c>
      <c r="V61" s="3">
        <v>4.78</v>
      </c>
      <c r="W61" s="3">
        <v>0.45</v>
      </c>
      <c r="X61" s="3">
        <v>0.11</v>
      </c>
      <c r="Y61" s="3">
        <v>0.23</v>
      </c>
      <c r="Z61" s="3">
        <v>0.87</v>
      </c>
      <c r="AA61" s="3">
        <v>4.82</v>
      </c>
      <c r="AB61" s="3">
        <v>0.28999999999999998</v>
      </c>
      <c r="AC61" s="3">
        <v>0.61</v>
      </c>
      <c r="AD61" s="3">
        <v>0.09</v>
      </c>
      <c r="AE61" s="3">
        <v>233</v>
      </c>
      <c r="AF61" s="3">
        <v>151</v>
      </c>
      <c r="AG61" s="3">
        <v>194</v>
      </c>
      <c r="AH61" s="3">
        <v>70</v>
      </c>
      <c r="AI61" s="3">
        <v>4</v>
      </c>
      <c r="AJ61" s="3">
        <v>41</v>
      </c>
    </row>
    <row r="62" spans="1:36" x14ac:dyDescent="0.25">
      <c r="A62" s="7">
        <v>237</v>
      </c>
      <c r="B62" s="3" t="s">
        <v>8</v>
      </c>
      <c r="C62" s="3" t="s">
        <v>353</v>
      </c>
      <c r="D62" s="3"/>
      <c r="E62" s="3">
        <v>48.8</v>
      </c>
      <c r="F62" s="3">
        <v>0.47</v>
      </c>
      <c r="G62" s="3">
        <v>0.85</v>
      </c>
      <c r="H62" s="3">
        <v>7.0000000000000007E-2</v>
      </c>
      <c r="I62" s="3">
        <v>10.41</v>
      </c>
      <c r="J62" s="3">
        <v>0.13</v>
      </c>
      <c r="K62" s="3">
        <v>0.28000000000000003</v>
      </c>
      <c r="L62" s="3">
        <v>0.03</v>
      </c>
      <c r="M62" s="3">
        <v>15.9</v>
      </c>
      <c r="N62" s="3">
        <v>0.11</v>
      </c>
      <c r="O62" s="3">
        <v>0.35</v>
      </c>
      <c r="P62" s="3">
        <v>0.01</v>
      </c>
      <c r="Q62" s="3">
        <v>6.9</v>
      </c>
      <c r="R62" s="3">
        <v>0.11</v>
      </c>
      <c r="S62" s="3">
        <v>7.38</v>
      </c>
      <c r="T62" s="3">
        <v>0.06</v>
      </c>
      <c r="U62" s="3">
        <v>2.39</v>
      </c>
      <c r="V62" s="3">
        <v>0.24</v>
      </c>
      <c r="W62" s="3">
        <v>0.59</v>
      </c>
      <c r="X62" s="3">
        <v>0.06</v>
      </c>
      <c r="Y62" s="3">
        <v>0.84</v>
      </c>
      <c r="Z62" s="3">
        <v>7.0000000000000007E-2</v>
      </c>
      <c r="AA62" s="3">
        <v>4.5599999999999996</v>
      </c>
      <c r="AB62" s="3">
        <v>7.0000000000000007E-2</v>
      </c>
      <c r="AC62" s="3">
        <v>0.57999999999999996</v>
      </c>
      <c r="AD62" s="3">
        <v>0.01</v>
      </c>
      <c r="AE62" s="3">
        <v>323</v>
      </c>
      <c r="AF62" s="3">
        <v>46</v>
      </c>
      <c r="AG62" s="3">
        <v>178</v>
      </c>
      <c r="AH62" s="3">
        <v>14</v>
      </c>
      <c r="AI62" s="3">
        <v>21</v>
      </c>
      <c r="AJ62" s="3">
        <v>16</v>
      </c>
    </row>
    <row r="63" spans="1:36" x14ac:dyDescent="0.25">
      <c r="A63" s="7">
        <v>240</v>
      </c>
      <c r="B63" s="3" t="s">
        <v>4</v>
      </c>
      <c r="C63" s="3" t="s">
        <v>354</v>
      </c>
      <c r="D63" s="3"/>
      <c r="E63" s="3">
        <v>40.4</v>
      </c>
      <c r="F63" s="3">
        <v>0.5</v>
      </c>
      <c r="G63" s="3">
        <v>0.76</v>
      </c>
      <c r="H63" s="3">
        <v>0.08</v>
      </c>
      <c r="I63" s="3">
        <v>7.27</v>
      </c>
      <c r="J63" s="3">
        <v>0.18</v>
      </c>
      <c r="K63" s="3">
        <v>0.2</v>
      </c>
      <c r="L63" s="3">
        <v>0.04</v>
      </c>
      <c r="M63" s="3">
        <v>15</v>
      </c>
      <c r="N63" s="3">
        <v>0.14000000000000001</v>
      </c>
      <c r="O63" s="3">
        <v>0.25</v>
      </c>
      <c r="P63" s="3">
        <v>0.02</v>
      </c>
      <c r="Q63" s="3">
        <v>8.0299999999999994</v>
      </c>
      <c r="R63" s="3">
        <v>0.23</v>
      </c>
      <c r="S63" s="3">
        <v>5.26</v>
      </c>
      <c r="T63" s="3">
        <v>7.0000000000000007E-2</v>
      </c>
      <c r="U63" s="3">
        <v>1.85</v>
      </c>
      <c r="V63" s="3">
        <v>0.5</v>
      </c>
      <c r="W63" s="3">
        <v>0.6</v>
      </c>
      <c r="X63" s="3">
        <v>7.0000000000000007E-2</v>
      </c>
      <c r="Y63" s="3">
        <v>1</v>
      </c>
      <c r="Z63" s="3">
        <v>0.1</v>
      </c>
      <c r="AA63" s="3">
        <v>18.010000000000002</v>
      </c>
      <c r="AB63" s="3">
        <v>0.25</v>
      </c>
      <c r="AC63" s="3">
        <v>1.26</v>
      </c>
      <c r="AD63" s="3">
        <v>0.03</v>
      </c>
      <c r="AE63" s="3">
        <v>509</v>
      </c>
      <c r="AF63" s="3">
        <v>66</v>
      </c>
      <c r="AG63" s="3">
        <v>380</v>
      </c>
      <c r="AH63" s="3">
        <v>28</v>
      </c>
      <c r="AI63" s="3">
        <v>395</v>
      </c>
      <c r="AJ63" s="3">
        <v>26</v>
      </c>
    </row>
    <row r="64" spans="1:36" x14ac:dyDescent="0.25">
      <c r="A64" s="7">
        <v>241</v>
      </c>
      <c r="B64" s="3" t="s">
        <v>4</v>
      </c>
      <c r="C64" s="3" t="s">
        <v>355</v>
      </c>
      <c r="D64" s="3"/>
      <c r="E64" s="3">
        <v>41.5</v>
      </c>
      <c r="F64" s="3">
        <v>0.49</v>
      </c>
      <c r="G64" s="3">
        <v>0.81</v>
      </c>
      <c r="H64" s="3">
        <v>0.08</v>
      </c>
      <c r="I64" s="3">
        <v>7.39</v>
      </c>
      <c r="J64" s="3">
        <v>0.16</v>
      </c>
      <c r="K64" s="3">
        <v>0.23</v>
      </c>
      <c r="L64" s="3">
        <v>0.04</v>
      </c>
      <c r="M64" s="3">
        <v>16.3</v>
      </c>
      <c r="N64" s="3">
        <v>0.14000000000000001</v>
      </c>
      <c r="O64" s="3">
        <v>0.39</v>
      </c>
      <c r="P64" s="3">
        <v>0.02</v>
      </c>
      <c r="Q64" s="3">
        <v>7.47</v>
      </c>
      <c r="R64" s="3">
        <v>0.16</v>
      </c>
      <c r="S64" s="3">
        <v>5.79</v>
      </c>
      <c r="T64" s="3">
        <v>7.0000000000000007E-2</v>
      </c>
      <c r="U64" s="3">
        <v>2.09</v>
      </c>
      <c r="V64" s="3">
        <v>0.32</v>
      </c>
      <c r="W64" s="3">
        <v>0.59</v>
      </c>
      <c r="X64" s="3">
        <v>7.0000000000000007E-2</v>
      </c>
      <c r="Y64" s="3">
        <v>0.97</v>
      </c>
      <c r="Z64" s="3">
        <v>0.1</v>
      </c>
      <c r="AA64" s="3">
        <v>14.99</v>
      </c>
      <c r="AB64" s="3">
        <v>0.21</v>
      </c>
      <c r="AC64" s="3">
        <v>1.18</v>
      </c>
      <c r="AD64" s="3">
        <v>0.03</v>
      </c>
      <c r="AE64" s="3">
        <v>528</v>
      </c>
      <c r="AF64" s="3">
        <v>70</v>
      </c>
      <c r="AG64" s="3">
        <v>453</v>
      </c>
      <c r="AH64" s="3">
        <v>31</v>
      </c>
      <c r="AI64" s="3">
        <v>1232</v>
      </c>
      <c r="AJ64" s="3">
        <v>38</v>
      </c>
    </row>
    <row r="65" spans="1:36" x14ac:dyDescent="0.25">
      <c r="A65" s="7">
        <v>249</v>
      </c>
      <c r="B65" s="3" t="s">
        <v>3</v>
      </c>
      <c r="C65" s="3" t="s">
        <v>356</v>
      </c>
      <c r="D65" s="3"/>
      <c r="E65" s="3">
        <v>46.7</v>
      </c>
      <c r="F65" s="3">
        <v>0.35</v>
      </c>
      <c r="G65" s="3">
        <v>0.91</v>
      </c>
      <c r="H65" s="3">
        <v>7.0000000000000007E-2</v>
      </c>
      <c r="I65" s="3">
        <v>9.59</v>
      </c>
      <c r="J65" s="3">
        <v>0.11</v>
      </c>
      <c r="K65" s="3">
        <v>0.45</v>
      </c>
      <c r="L65" s="3">
        <v>0.04</v>
      </c>
      <c r="M65" s="3">
        <v>18</v>
      </c>
      <c r="N65" s="3">
        <v>0.1</v>
      </c>
      <c r="O65" s="3">
        <v>0.4</v>
      </c>
      <c r="P65" s="3">
        <v>0.01</v>
      </c>
      <c r="Q65" s="3">
        <v>7.65</v>
      </c>
      <c r="R65" s="3">
        <v>0.1</v>
      </c>
      <c r="S65" s="3">
        <v>7.3</v>
      </c>
      <c r="T65" s="3">
        <v>0.06</v>
      </c>
      <c r="U65" s="3">
        <v>2.39</v>
      </c>
      <c r="V65" s="3">
        <v>0.22</v>
      </c>
      <c r="W65" s="3">
        <v>0.48</v>
      </c>
      <c r="X65" s="3">
        <v>0.06</v>
      </c>
      <c r="Y65" s="3">
        <v>0.85</v>
      </c>
      <c r="Z65" s="3">
        <v>0.08</v>
      </c>
      <c r="AA65" s="3">
        <v>4.62</v>
      </c>
      <c r="AB65" s="3">
        <v>7.0000000000000007E-2</v>
      </c>
      <c r="AC65" s="3">
        <v>0.59</v>
      </c>
      <c r="AD65" s="3">
        <v>0.01</v>
      </c>
      <c r="AE65" s="3">
        <v>344</v>
      </c>
      <c r="AF65" s="3">
        <v>48</v>
      </c>
      <c r="AG65" s="3">
        <v>184</v>
      </c>
      <c r="AH65" s="3">
        <v>15</v>
      </c>
      <c r="AI65" s="3">
        <v>24</v>
      </c>
      <c r="AJ65" s="3">
        <v>16</v>
      </c>
    </row>
    <row r="66" spans="1:36" x14ac:dyDescent="0.25">
      <c r="A66" s="7">
        <v>260</v>
      </c>
      <c r="B66" s="3" t="s">
        <v>4</v>
      </c>
      <c r="C66" s="3" t="s">
        <v>357</v>
      </c>
      <c r="D66" s="3"/>
      <c r="E66" s="3">
        <v>40.4</v>
      </c>
      <c r="F66" s="3">
        <v>0.61</v>
      </c>
      <c r="G66" s="3">
        <v>0.81</v>
      </c>
      <c r="H66" s="3">
        <v>0.18</v>
      </c>
      <c r="I66" s="3">
        <v>7.31</v>
      </c>
      <c r="J66" s="3">
        <v>0.2</v>
      </c>
      <c r="K66" s="3">
        <v>0.19</v>
      </c>
      <c r="L66" s="3">
        <v>0.05</v>
      </c>
      <c r="M66" s="3">
        <v>15.1</v>
      </c>
      <c r="N66" s="3">
        <v>0.19</v>
      </c>
      <c r="O66" s="3">
        <v>0.2</v>
      </c>
      <c r="P66" s="3">
        <v>0.05</v>
      </c>
      <c r="Q66" s="3">
        <v>7.67</v>
      </c>
      <c r="R66" s="3">
        <v>0.23</v>
      </c>
      <c r="S66" s="3">
        <v>5.22</v>
      </c>
      <c r="T66" s="3">
        <v>0.09</v>
      </c>
      <c r="U66" s="3">
        <v>1.92</v>
      </c>
      <c r="V66" s="3">
        <v>0.83</v>
      </c>
      <c r="W66" s="3">
        <v>0.62</v>
      </c>
      <c r="X66" s="3">
        <v>0.08</v>
      </c>
      <c r="Y66" s="3">
        <v>1.04</v>
      </c>
      <c r="Z66" s="3">
        <v>0.19</v>
      </c>
      <c r="AA66" s="3">
        <v>18.29</v>
      </c>
      <c r="AB66" s="3">
        <v>0.33</v>
      </c>
      <c r="AC66" s="3">
        <v>1.07</v>
      </c>
      <c r="AD66" s="3">
        <v>0.05</v>
      </c>
      <c r="AE66" s="3">
        <v>519</v>
      </c>
      <c r="AF66" s="3">
        <v>92</v>
      </c>
      <c r="AG66" s="3">
        <v>394</v>
      </c>
      <c r="AH66" s="3">
        <v>45</v>
      </c>
      <c r="AI66" s="3">
        <v>368</v>
      </c>
      <c r="AJ66" s="3">
        <v>34</v>
      </c>
    </row>
    <row r="67" spans="1:36" x14ac:dyDescent="0.25">
      <c r="A67" s="7">
        <v>261</v>
      </c>
      <c r="B67" s="3" t="s">
        <v>4</v>
      </c>
      <c r="C67" s="3" t="s">
        <v>358</v>
      </c>
      <c r="D67" s="3"/>
      <c r="E67" s="3">
        <v>40.5</v>
      </c>
      <c r="F67" s="3">
        <v>0.47</v>
      </c>
      <c r="G67" s="3">
        <v>0.69</v>
      </c>
      <c r="H67" s="3">
        <v>0.08</v>
      </c>
      <c r="I67" s="3">
        <v>7.27</v>
      </c>
      <c r="J67" s="3">
        <v>0.13</v>
      </c>
      <c r="K67" s="3">
        <v>0.18</v>
      </c>
      <c r="L67" s="3">
        <v>0.04</v>
      </c>
      <c r="M67" s="3">
        <v>15.1</v>
      </c>
      <c r="N67" s="3">
        <v>0.13</v>
      </c>
      <c r="O67" s="3">
        <v>0.2</v>
      </c>
      <c r="P67" s="3">
        <v>0.01</v>
      </c>
      <c r="Q67" s="3">
        <v>7.67</v>
      </c>
      <c r="R67" s="3">
        <v>0.15</v>
      </c>
      <c r="S67" s="3">
        <v>5.25</v>
      </c>
      <c r="T67" s="3">
        <v>0.06</v>
      </c>
      <c r="U67" s="3">
        <v>2.0099999999999998</v>
      </c>
      <c r="V67" s="3">
        <v>0.31</v>
      </c>
      <c r="W67" s="3">
        <v>0.6</v>
      </c>
      <c r="X67" s="3">
        <v>7.0000000000000007E-2</v>
      </c>
      <c r="Y67" s="3">
        <v>1.06</v>
      </c>
      <c r="Z67" s="3">
        <v>0.09</v>
      </c>
      <c r="AA67" s="3">
        <v>18.32</v>
      </c>
      <c r="AB67" s="3">
        <v>0.23</v>
      </c>
      <c r="AC67" s="3">
        <v>1.03</v>
      </c>
      <c r="AD67" s="3">
        <v>0.03</v>
      </c>
      <c r="AE67" s="3">
        <v>510</v>
      </c>
      <c r="AF67" s="3">
        <v>62</v>
      </c>
      <c r="AG67" s="3">
        <v>363</v>
      </c>
      <c r="AH67" s="3">
        <v>25</v>
      </c>
      <c r="AI67" s="3">
        <v>424</v>
      </c>
      <c r="AJ67" s="3">
        <v>26</v>
      </c>
    </row>
    <row r="68" spans="1:36" x14ac:dyDescent="0.25">
      <c r="A68" s="7">
        <v>283</v>
      </c>
      <c r="B68" s="3" t="s">
        <v>4</v>
      </c>
      <c r="C68" s="3" t="s">
        <v>359</v>
      </c>
      <c r="D68" s="3"/>
      <c r="E68" s="3">
        <v>43.5</v>
      </c>
      <c r="F68" s="3">
        <v>0.53</v>
      </c>
      <c r="G68" s="3">
        <v>0.89</v>
      </c>
      <c r="H68" s="3">
        <v>0.08</v>
      </c>
      <c r="I68" s="3">
        <v>8.4700000000000006</v>
      </c>
      <c r="J68" s="3">
        <v>0.17</v>
      </c>
      <c r="K68" s="3">
        <v>0.28999999999999998</v>
      </c>
      <c r="L68" s="3">
        <v>0.04</v>
      </c>
      <c r="M68" s="3">
        <v>15.8</v>
      </c>
      <c r="N68" s="3">
        <v>0.15</v>
      </c>
      <c r="O68" s="3">
        <v>0.33</v>
      </c>
      <c r="P68" s="3">
        <v>0.02</v>
      </c>
      <c r="Q68" s="3">
        <v>7.43</v>
      </c>
      <c r="R68" s="3">
        <v>0.17</v>
      </c>
      <c r="S68" s="3">
        <v>6.79</v>
      </c>
      <c r="T68" s="3">
        <v>0.08</v>
      </c>
      <c r="U68" s="3">
        <v>1.95</v>
      </c>
      <c r="V68" s="3">
        <v>0.35</v>
      </c>
      <c r="W68" s="3">
        <v>0.59</v>
      </c>
      <c r="X68" s="3">
        <v>7.0000000000000007E-2</v>
      </c>
      <c r="Y68" s="3">
        <v>0.95</v>
      </c>
      <c r="Z68" s="3">
        <v>0.1</v>
      </c>
      <c r="AA68" s="3">
        <v>11.93</v>
      </c>
      <c r="AB68" s="3">
        <v>0.19</v>
      </c>
      <c r="AC68" s="3">
        <v>0.96</v>
      </c>
      <c r="AD68" s="3">
        <v>0.03</v>
      </c>
      <c r="AE68" s="3">
        <v>417</v>
      </c>
      <c r="AF68" s="3">
        <v>74</v>
      </c>
      <c r="AG68" s="3">
        <v>391</v>
      </c>
      <c r="AH68" s="3">
        <v>33</v>
      </c>
      <c r="AI68" s="3">
        <v>18</v>
      </c>
      <c r="AJ68" s="3">
        <v>22</v>
      </c>
    </row>
    <row r="69" spans="1:36" x14ac:dyDescent="0.25">
      <c r="A69" s="7">
        <v>306</v>
      </c>
      <c r="B69" s="3" t="s">
        <v>5</v>
      </c>
      <c r="C69" s="3" t="s">
        <v>360</v>
      </c>
      <c r="D69" s="3"/>
      <c r="E69" s="3">
        <v>38.700000000000003</v>
      </c>
      <c r="F69" s="3">
        <v>0.41</v>
      </c>
      <c r="G69" s="3">
        <v>0.76</v>
      </c>
      <c r="H69" s="3">
        <v>0.08</v>
      </c>
      <c r="I69" s="3">
        <v>6.45</v>
      </c>
      <c r="J69" s="3">
        <v>0.14000000000000001</v>
      </c>
      <c r="K69" s="3">
        <v>0.18</v>
      </c>
      <c r="L69" s="3">
        <v>0.03</v>
      </c>
      <c r="M69" s="3">
        <v>14.9</v>
      </c>
      <c r="N69" s="3">
        <v>0.11</v>
      </c>
      <c r="O69" s="3">
        <v>0.27</v>
      </c>
      <c r="P69" s="3">
        <v>0.01</v>
      </c>
      <c r="Q69" s="3">
        <v>8.08</v>
      </c>
      <c r="R69" s="3">
        <v>0.13</v>
      </c>
      <c r="S69" s="3">
        <v>4.49</v>
      </c>
      <c r="T69" s="3">
        <v>0.05</v>
      </c>
      <c r="U69" s="3">
        <v>1.74</v>
      </c>
      <c r="V69" s="3">
        <v>0.27</v>
      </c>
      <c r="W69" s="3">
        <v>0.54</v>
      </c>
      <c r="X69" s="3">
        <v>0.06</v>
      </c>
      <c r="Y69" s="3">
        <v>1.0900000000000001</v>
      </c>
      <c r="Z69" s="3">
        <v>0.09</v>
      </c>
      <c r="AA69" s="3">
        <v>21.47</v>
      </c>
      <c r="AB69" s="3">
        <v>0.23</v>
      </c>
      <c r="AC69" s="3">
        <v>1.1000000000000001</v>
      </c>
      <c r="AD69" s="3">
        <v>0.02</v>
      </c>
      <c r="AE69" s="3">
        <v>564</v>
      </c>
      <c r="AF69" s="3">
        <v>51</v>
      </c>
      <c r="AG69" s="3">
        <v>624</v>
      </c>
      <c r="AH69" s="3">
        <v>22</v>
      </c>
      <c r="AI69" s="3">
        <v>147</v>
      </c>
      <c r="AJ69" s="3">
        <v>18</v>
      </c>
    </row>
    <row r="70" spans="1:36" x14ac:dyDescent="0.25">
      <c r="A70" s="7">
        <v>307</v>
      </c>
      <c r="B70" s="3" t="s">
        <v>6</v>
      </c>
      <c r="C70" s="3" t="s">
        <v>361</v>
      </c>
      <c r="D70" s="3"/>
      <c r="E70" s="3">
        <v>37.700000000000003</v>
      </c>
      <c r="F70" s="3">
        <v>0.44</v>
      </c>
      <c r="G70" s="3">
        <v>0.77</v>
      </c>
      <c r="H70" s="3">
        <v>7.0000000000000007E-2</v>
      </c>
      <c r="I70" s="3">
        <v>6.36</v>
      </c>
      <c r="J70" s="3">
        <v>0.12</v>
      </c>
      <c r="K70" s="3">
        <v>0.16</v>
      </c>
      <c r="L70" s="3">
        <v>0.04</v>
      </c>
      <c r="M70" s="3">
        <v>15.7</v>
      </c>
      <c r="N70" s="3">
        <v>0.14000000000000001</v>
      </c>
      <c r="O70" s="3">
        <v>0.33</v>
      </c>
      <c r="P70" s="3">
        <v>0.02</v>
      </c>
      <c r="Q70" s="3">
        <v>7.86</v>
      </c>
      <c r="R70" s="3">
        <v>0.15</v>
      </c>
      <c r="S70" s="3">
        <v>4.59</v>
      </c>
      <c r="T70" s="3">
        <v>0.06</v>
      </c>
      <c r="U70" s="3">
        <v>1.84</v>
      </c>
      <c r="V70" s="3">
        <v>0.31</v>
      </c>
      <c r="W70" s="3">
        <v>0.56999999999999995</v>
      </c>
      <c r="X70" s="3">
        <v>0.06</v>
      </c>
      <c r="Y70" s="3">
        <v>1.1299999999999999</v>
      </c>
      <c r="Z70" s="3">
        <v>0.09</v>
      </c>
      <c r="AA70" s="3">
        <v>21.35</v>
      </c>
      <c r="AB70" s="3">
        <v>0.26</v>
      </c>
      <c r="AC70" s="3">
        <v>1.42</v>
      </c>
      <c r="AD70" s="3">
        <v>0.03</v>
      </c>
      <c r="AE70" s="3">
        <v>571</v>
      </c>
      <c r="AF70" s="3">
        <v>62</v>
      </c>
      <c r="AG70" s="3">
        <v>628</v>
      </c>
      <c r="AH70" s="3">
        <v>29</v>
      </c>
      <c r="AI70" s="3">
        <v>10</v>
      </c>
      <c r="AJ70" s="3">
        <v>17</v>
      </c>
    </row>
    <row r="71" spans="1:36" x14ac:dyDescent="0.25">
      <c r="A71" s="7">
        <v>308</v>
      </c>
      <c r="B71" s="3" t="s">
        <v>5</v>
      </c>
      <c r="C71" s="3" t="s">
        <v>362</v>
      </c>
      <c r="D71" s="3"/>
      <c r="E71" s="3">
        <v>37</v>
      </c>
      <c r="F71" s="3">
        <v>0.4</v>
      </c>
      <c r="G71" s="3">
        <v>0.76</v>
      </c>
      <c r="H71" s="3">
        <v>7.0000000000000007E-2</v>
      </c>
      <c r="I71" s="3">
        <v>6.28</v>
      </c>
      <c r="J71" s="3">
        <v>0.11</v>
      </c>
      <c r="K71" s="3">
        <v>0.21</v>
      </c>
      <c r="L71" s="3">
        <v>0.03</v>
      </c>
      <c r="M71" s="3">
        <v>15.8</v>
      </c>
      <c r="N71" s="3">
        <v>0.12</v>
      </c>
      <c r="O71" s="3">
        <v>0.28999999999999998</v>
      </c>
      <c r="P71" s="3">
        <v>0.01</v>
      </c>
      <c r="Q71" s="3">
        <v>9.3800000000000008</v>
      </c>
      <c r="R71" s="3">
        <v>0.14000000000000001</v>
      </c>
      <c r="S71" s="3">
        <v>4.2699999999999996</v>
      </c>
      <c r="T71" s="3">
        <v>0.05</v>
      </c>
      <c r="U71" s="3">
        <v>1.68</v>
      </c>
      <c r="V71" s="3">
        <v>0.27</v>
      </c>
      <c r="W71" s="3">
        <v>0.54</v>
      </c>
      <c r="X71" s="3">
        <v>0.06</v>
      </c>
      <c r="Y71" s="3">
        <v>1.02</v>
      </c>
      <c r="Z71" s="3">
        <v>0.09</v>
      </c>
      <c r="AA71" s="3">
        <v>21.55</v>
      </c>
      <c r="AB71" s="3">
        <v>0.24</v>
      </c>
      <c r="AC71" s="3">
        <v>1.07</v>
      </c>
      <c r="AD71" s="3">
        <v>0.02</v>
      </c>
      <c r="AE71" s="3">
        <v>804</v>
      </c>
      <c r="AF71" s="3">
        <v>58</v>
      </c>
      <c r="AG71" s="3">
        <v>301</v>
      </c>
      <c r="AH71" s="3">
        <v>19</v>
      </c>
      <c r="AI71" s="3">
        <v>103</v>
      </c>
      <c r="AJ71" s="3">
        <v>18</v>
      </c>
    </row>
    <row r="72" spans="1:36" x14ac:dyDescent="0.25">
      <c r="A72" s="7">
        <v>311</v>
      </c>
      <c r="B72" s="3" t="s">
        <v>4</v>
      </c>
      <c r="C72" s="3" t="s">
        <v>363</v>
      </c>
      <c r="D72" s="3"/>
      <c r="E72" s="3">
        <v>42.6</v>
      </c>
      <c r="F72" s="3">
        <v>0.45</v>
      </c>
      <c r="G72" s="3">
        <v>0.77</v>
      </c>
      <c r="H72" s="3">
        <v>7.0000000000000007E-2</v>
      </c>
      <c r="I72" s="3">
        <v>8.6300000000000008</v>
      </c>
      <c r="J72" s="3">
        <v>0.17</v>
      </c>
      <c r="K72" s="3">
        <v>0.24</v>
      </c>
      <c r="L72" s="3">
        <v>0.03</v>
      </c>
      <c r="M72" s="3">
        <v>17.3</v>
      </c>
      <c r="N72" s="3">
        <v>0.13</v>
      </c>
      <c r="O72" s="3">
        <v>0.28000000000000003</v>
      </c>
      <c r="P72" s="3">
        <v>0.01</v>
      </c>
      <c r="Q72" s="3">
        <v>7.86</v>
      </c>
      <c r="R72" s="3">
        <v>0.14000000000000001</v>
      </c>
      <c r="S72" s="3">
        <v>6.33</v>
      </c>
      <c r="T72" s="3">
        <v>0.06</v>
      </c>
      <c r="U72" s="3">
        <v>2.5499999999999998</v>
      </c>
      <c r="V72" s="3">
        <v>0.28000000000000003</v>
      </c>
      <c r="W72" s="3">
        <v>0.5</v>
      </c>
      <c r="X72" s="3">
        <v>0.06</v>
      </c>
      <c r="Y72" s="3">
        <v>0.91</v>
      </c>
      <c r="Z72" s="3">
        <v>0.09</v>
      </c>
      <c r="AA72" s="3">
        <v>11.14</v>
      </c>
      <c r="AB72" s="3">
        <v>0.15</v>
      </c>
      <c r="AC72" s="3">
        <v>0.84</v>
      </c>
      <c r="AD72" s="3">
        <v>0.02</v>
      </c>
      <c r="AE72" s="3">
        <v>466</v>
      </c>
      <c r="AF72" s="3">
        <v>55</v>
      </c>
      <c r="AG72" s="3">
        <v>273</v>
      </c>
      <c r="AH72" s="3">
        <v>20</v>
      </c>
      <c r="AI72" s="3">
        <v>44</v>
      </c>
      <c r="AJ72" s="3">
        <v>18</v>
      </c>
    </row>
    <row r="73" spans="1:36" x14ac:dyDescent="0.25">
      <c r="A73" s="7">
        <v>312</v>
      </c>
      <c r="B73" s="3" t="s">
        <v>6</v>
      </c>
      <c r="C73" s="3" t="s">
        <v>364</v>
      </c>
      <c r="D73" s="3"/>
      <c r="E73" s="3">
        <v>37.5</v>
      </c>
      <c r="F73" s="3">
        <v>0.4</v>
      </c>
      <c r="G73" s="3">
        <v>0.81</v>
      </c>
      <c r="H73" s="3">
        <v>7.0000000000000007E-2</v>
      </c>
      <c r="I73" s="3">
        <v>6.43</v>
      </c>
      <c r="J73" s="3">
        <v>0.11</v>
      </c>
      <c r="K73" s="3">
        <v>0.2</v>
      </c>
      <c r="L73" s="3">
        <v>0.03</v>
      </c>
      <c r="M73" s="3">
        <v>15.1</v>
      </c>
      <c r="N73" s="3">
        <v>0.12</v>
      </c>
      <c r="O73" s="3">
        <v>0.32</v>
      </c>
      <c r="P73" s="3">
        <v>0.01</v>
      </c>
      <c r="Q73" s="3">
        <v>9.11</v>
      </c>
      <c r="R73" s="3">
        <v>0.14000000000000001</v>
      </c>
      <c r="S73" s="3">
        <v>4.0999999999999996</v>
      </c>
      <c r="T73" s="3">
        <v>0.05</v>
      </c>
      <c r="U73" s="3">
        <v>1.83</v>
      </c>
      <c r="V73" s="3">
        <v>0.27</v>
      </c>
      <c r="W73" s="3">
        <v>0.56000000000000005</v>
      </c>
      <c r="X73" s="3">
        <v>0.06</v>
      </c>
      <c r="Y73" s="3">
        <v>1.08</v>
      </c>
      <c r="Z73" s="3">
        <v>0.09</v>
      </c>
      <c r="AA73" s="3">
        <v>21.33</v>
      </c>
      <c r="AB73" s="3">
        <v>0.23</v>
      </c>
      <c r="AC73" s="3">
        <v>1.49</v>
      </c>
      <c r="AD73" s="3">
        <v>0.03</v>
      </c>
      <c r="AE73" s="3">
        <v>605</v>
      </c>
      <c r="AF73" s="3">
        <v>55</v>
      </c>
      <c r="AG73" s="3">
        <v>259</v>
      </c>
      <c r="AH73" s="3">
        <v>18</v>
      </c>
      <c r="AI73" s="3">
        <v>38</v>
      </c>
      <c r="AJ73" s="3">
        <v>18</v>
      </c>
    </row>
    <row r="74" spans="1:36" x14ac:dyDescent="0.25">
      <c r="A74" s="7">
        <v>368</v>
      </c>
      <c r="B74" s="3" t="s">
        <v>10</v>
      </c>
      <c r="C74" s="3" t="s">
        <v>365</v>
      </c>
      <c r="D74" s="3"/>
      <c r="E74" s="3">
        <v>44.6</v>
      </c>
      <c r="F74" s="3">
        <v>0.47</v>
      </c>
      <c r="G74" s="3">
        <v>1.17</v>
      </c>
      <c r="H74" s="3">
        <v>0.09</v>
      </c>
      <c r="I74" s="3">
        <v>8.98</v>
      </c>
      <c r="J74" s="3">
        <v>0.13</v>
      </c>
      <c r="K74" s="3">
        <v>0.46</v>
      </c>
      <c r="L74" s="3">
        <v>0.04</v>
      </c>
      <c r="M74" s="3">
        <v>19.899999999999999</v>
      </c>
      <c r="N74" s="3">
        <v>0.15</v>
      </c>
      <c r="O74" s="3">
        <v>0.39</v>
      </c>
      <c r="P74" s="3">
        <v>0.02</v>
      </c>
      <c r="Q74" s="3">
        <v>7.13</v>
      </c>
      <c r="R74" s="3">
        <v>0.11</v>
      </c>
      <c r="S74" s="3">
        <v>6.75</v>
      </c>
      <c r="T74" s="3">
        <v>7.0000000000000007E-2</v>
      </c>
      <c r="U74" s="3">
        <v>2.2000000000000002</v>
      </c>
      <c r="V74" s="3">
        <v>0.22</v>
      </c>
      <c r="W74" s="3">
        <v>0.45</v>
      </c>
      <c r="X74" s="3">
        <v>0.06</v>
      </c>
      <c r="Y74" s="3">
        <v>0.84</v>
      </c>
      <c r="Z74" s="3">
        <v>0.08</v>
      </c>
      <c r="AA74" s="3">
        <v>6.58</v>
      </c>
      <c r="AB74" s="3">
        <v>0.1</v>
      </c>
      <c r="AC74" s="3">
        <v>0.5</v>
      </c>
      <c r="AD74" s="3">
        <v>0.02</v>
      </c>
      <c r="AE74" s="3">
        <v>449</v>
      </c>
      <c r="AF74" s="3">
        <v>61</v>
      </c>
      <c r="AG74" s="3">
        <v>409</v>
      </c>
      <c r="AH74" s="3">
        <v>26</v>
      </c>
      <c r="AI74" s="3">
        <v>70</v>
      </c>
      <c r="AJ74" s="3">
        <v>20</v>
      </c>
    </row>
    <row r="75" spans="1:36" x14ac:dyDescent="0.25">
      <c r="A75" s="7">
        <v>369</v>
      </c>
      <c r="B75" s="3" t="s">
        <v>3</v>
      </c>
      <c r="C75" s="3" t="s">
        <v>366</v>
      </c>
      <c r="D75" s="3"/>
      <c r="E75" s="3">
        <v>37.4</v>
      </c>
      <c r="F75" s="3">
        <v>0.37</v>
      </c>
      <c r="G75" s="3">
        <v>0.67</v>
      </c>
      <c r="H75" s="3">
        <v>7.0000000000000007E-2</v>
      </c>
      <c r="I75" s="3">
        <v>7.36</v>
      </c>
      <c r="J75" s="3">
        <v>0.13</v>
      </c>
      <c r="K75" s="3">
        <v>0.27</v>
      </c>
      <c r="L75" s="3">
        <v>0.04</v>
      </c>
      <c r="M75" s="3">
        <v>33.799999999999997</v>
      </c>
      <c r="N75" s="3">
        <v>0.22</v>
      </c>
      <c r="O75" s="3">
        <v>0.28999999999999998</v>
      </c>
      <c r="P75" s="3">
        <v>0.01</v>
      </c>
      <c r="Q75" s="3">
        <v>6.39</v>
      </c>
      <c r="R75" s="3">
        <v>0.1</v>
      </c>
      <c r="S75" s="3">
        <v>4.88</v>
      </c>
      <c r="T75" s="3">
        <v>0.05</v>
      </c>
      <c r="U75" s="3">
        <v>2.13</v>
      </c>
      <c r="V75" s="3">
        <v>0.2</v>
      </c>
      <c r="W75" s="3">
        <v>0.33</v>
      </c>
      <c r="X75" s="3">
        <v>0.06</v>
      </c>
      <c r="Y75" s="3">
        <v>0.87</v>
      </c>
      <c r="Z75" s="3">
        <v>0.08</v>
      </c>
      <c r="AA75" s="3">
        <v>4.6399999999999997</v>
      </c>
      <c r="AB75" s="3">
        <v>0.08</v>
      </c>
      <c r="AC75" s="3">
        <v>0.71</v>
      </c>
      <c r="AD75" s="3">
        <v>0.02</v>
      </c>
      <c r="AE75" s="3">
        <v>1292</v>
      </c>
      <c r="AF75" s="3">
        <v>73</v>
      </c>
      <c r="AG75" s="3">
        <v>357</v>
      </c>
      <c r="AH75" s="3">
        <v>23</v>
      </c>
      <c r="AI75" s="3">
        <v>101</v>
      </c>
      <c r="AJ75" s="3">
        <v>21</v>
      </c>
    </row>
    <row r="76" spans="1:36" x14ac:dyDescent="0.25">
      <c r="A76" s="7">
        <v>370</v>
      </c>
      <c r="B76" s="3" t="s">
        <v>3</v>
      </c>
      <c r="C76" s="3" t="s">
        <v>367</v>
      </c>
      <c r="D76" s="3"/>
      <c r="E76" s="3">
        <v>39.799999999999997</v>
      </c>
      <c r="F76" s="3">
        <v>0.4</v>
      </c>
      <c r="G76" s="3">
        <v>0.78</v>
      </c>
      <c r="H76" s="3">
        <v>7.0000000000000007E-2</v>
      </c>
      <c r="I76" s="3">
        <v>7.83</v>
      </c>
      <c r="J76" s="3">
        <v>0.1</v>
      </c>
      <c r="K76" s="3">
        <v>0.32</v>
      </c>
      <c r="L76" s="3">
        <v>0.03</v>
      </c>
      <c r="M76" s="3">
        <v>29.4</v>
      </c>
      <c r="N76" s="3">
        <v>0.18</v>
      </c>
      <c r="O76" s="3">
        <v>0.28999999999999998</v>
      </c>
      <c r="P76" s="3">
        <v>0.01</v>
      </c>
      <c r="Q76" s="3">
        <v>6.61</v>
      </c>
      <c r="R76" s="3">
        <v>0.1</v>
      </c>
      <c r="S76" s="3">
        <v>5.67</v>
      </c>
      <c r="T76" s="3">
        <v>0.05</v>
      </c>
      <c r="U76" s="3">
        <v>2.17</v>
      </c>
      <c r="V76" s="3">
        <v>0.22</v>
      </c>
      <c r="W76" s="3">
        <v>0.4</v>
      </c>
      <c r="X76" s="3">
        <v>0.06</v>
      </c>
      <c r="Y76" s="3">
        <v>0.82</v>
      </c>
      <c r="Z76" s="3">
        <v>7.0000000000000007E-2</v>
      </c>
      <c r="AA76" s="3">
        <v>5.05</v>
      </c>
      <c r="AB76" s="3">
        <v>7.0000000000000007E-2</v>
      </c>
      <c r="AC76" s="3">
        <v>0.68</v>
      </c>
      <c r="AD76" s="3">
        <v>0.01</v>
      </c>
      <c r="AE76" s="3">
        <v>750</v>
      </c>
      <c r="AF76" s="3">
        <v>56</v>
      </c>
      <c r="AG76" s="3">
        <v>300</v>
      </c>
      <c r="AH76" s="3">
        <v>18</v>
      </c>
      <c r="AI76" s="3">
        <v>47</v>
      </c>
      <c r="AJ76" s="3">
        <v>17</v>
      </c>
    </row>
    <row r="77" spans="1:36" x14ac:dyDescent="0.25">
      <c r="A77" s="7">
        <v>373</v>
      </c>
      <c r="B77" s="3" t="s">
        <v>8</v>
      </c>
      <c r="C77" s="3" t="s">
        <v>368</v>
      </c>
      <c r="D77" s="3"/>
      <c r="E77" s="3">
        <v>45.3</v>
      </c>
      <c r="F77" s="3">
        <v>0.44</v>
      </c>
      <c r="G77" s="3">
        <v>1.25</v>
      </c>
      <c r="H77" s="3">
        <v>7.0000000000000007E-2</v>
      </c>
      <c r="I77" s="3">
        <v>9.1</v>
      </c>
      <c r="J77" s="3">
        <v>0.14000000000000001</v>
      </c>
      <c r="K77" s="3">
        <v>0.46</v>
      </c>
      <c r="L77" s="3">
        <v>0.04</v>
      </c>
      <c r="M77" s="3">
        <v>19.3</v>
      </c>
      <c r="N77" s="3">
        <v>0.13</v>
      </c>
      <c r="O77" s="3">
        <v>0.39</v>
      </c>
      <c r="P77" s="3">
        <v>0.01</v>
      </c>
      <c r="Q77" s="3">
        <v>7.2</v>
      </c>
      <c r="R77" s="3">
        <v>0.1</v>
      </c>
      <c r="S77" s="3">
        <v>6.87</v>
      </c>
      <c r="T77" s="3">
        <v>0.06</v>
      </c>
      <c r="U77" s="3">
        <v>2.11</v>
      </c>
      <c r="V77" s="3">
        <v>0.2</v>
      </c>
      <c r="W77" s="3">
        <v>0.44</v>
      </c>
      <c r="X77" s="3">
        <v>0.06</v>
      </c>
      <c r="Y77" s="3">
        <v>0.88</v>
      </c>
      <c r="Z77" s="3">
        <v>0.08</v>
      </c>
      <c r="AA77" s="3">
        <v>6.06</v>
      </c>
      <c r="AB77" s="3">
        <v>0.08</v>
      </c>
      <c r="AC77" s="3">
        <v>0.52</v>
      </c>
      <c r="AD77" s="3">
        <v>0.01</v>
      </c>
      <c r="AE77" s="3">
        <v>386</v>
      </c>
      <c r="AF77" s="3">
        <v>51</v>
      </c>
      <c r="AG77" s="3">
        <v>351</v>
      </c>
      <c r="AH77" s="3">
        <v>19</v>
      </c>
      <c r="AI77" s="3">
        <v>94</v>
      </c>
      <c r="AJ77" s="3">
        <v>19</v>
      </c>
    </row>
    <row r="78" spans="1:36" x14ac:dyDescent="0.25">
      <c r="A78" s="7">
        <v>381</v>
      </c>
      <c r="B78" s="3" t="s">
        <v>4</v>
      </c>
      <c r="C78" s="3" t="s">
        <v>369</v>
      </c>
      <c r="D78" s="3"/>
      <c r="E78" s="3">
        <v>38.5</v>
      </c>
      <c r="F78" s="3">
        <v>0.36</v>
      </c>
      <c r="G78" s="3">
        <v>0.8</v>
      </c>
      <c r="H78" s="3">
        <v>7.0000000000000007E-2</v>
      </c>
      <c r="I78" s="3">
        <v>6.81</v>
      </c>
      <c r="J78" s="3">
        <v>0.1</v>
      </c>
      <c r="K78" s="3">
        <v>0.2</v>
      </c>
      <c r="L78" s="3">
        <v>0.03</v>
      </c>
      <c r="M78" s="3">
        <v>15.4</v>
      </c>
      <c r="N78" s="3">
        <v>0.11</v>
      </c>
      <c r="O78" s="3">
        <v>0.3</v>
      </c>
      <c r="P78" s="3">
        <v>0.01</v>
      </c>
      <c r="Q78" s="3">
        <v>7.15</v>
      </c>
      <c r="R78" s="3">
        <v>0.1</v>
      </c>
      <c r="S78" s="3">
        <v>5.47</v>
      </c>
      <c r="T78" s="3">
        <v>0.05</v>
      </c>
      <c r="U78" s="3">
        <v>1.84</v>
      </c>
      <c r="V78" s="3">
        <v>0.2</v>
      </c>
      <c r="W78" s="3">
        <v>0.56999999999999995</v>
      </c>
      <c r="X78" s="3">
        <v>0.06</v>
      </c>
      <c r="Y78" s="3">
        <v>1.05</v>
      </c>
      <c r="Z78" s="3">
        <v>0.08</v>
      </c>
      <c r="AA78" s="3">
        <v>20.82</v>
      </c>
      <c r="AB78" s="3">
        <v>0.21</v>
      </c>
      <c r="AC78" s="3">
        <v>0.94</v>
      </c>
      <c r="AD78" s="3">
        <v>0.02</v>
      </c>
      <c r="AE78" s="3">
        <v>628</v>
      </c>
      <c r="AF78" s="3">
        <v>51</v>
      </c>
      <c r="AG78" s="3">
        <v>585</v>
      </c>
      <c r="AH78" s="3">
        <v>21</v>
      </c>
      <c r="AI78" s="3">
        <v>60</v>
      </c>
      <c r="AJ78" s="3">
        <v>16</v>
      </c>
    </row>
    <row r="79" spans="1:36" x14ac:dyDescent="0.25">
      <c r="A79" s="7">
        <v>393</v>
      </c>
      <c r="B79" s="3" t="s">
        <v>4</v>
      </c>
      <c r="C79" s="3" t="s">
        <v>370</v>
      </c>
      <c r="D79" s="3"/>
      <c r="E79" s="3">
        <v>39.4</v>
      </c>
      <c r="F79" s="3">
        <v>0.42</v>
      </c>
      <c r="G79" s="3">
        <v>0.83</v>
      </c>
      <c r="H79" s="3">
        <v>7.0000000000000007E-2</v>
      </c>
      <c r="I79" s="3">
        <v>7.1</v>
      </c>
      <c r="J79" s="3">
        <v>0.14000000000000001</v>
      </c>
      <c r="K79" s="3">
        <v>0.2</v>
      </c>
      <c r="L79" s="3">
        <v>0.03</v>
      </c>
      <c r="M79" s="3">
        <v>15.3</v>
      </c>
      <c r="N79" s="3">
        <v>0.13</v>
      </c>
      <c r="O79" s="3">
        <v>0.3</v>
      </c>
      <c r="P79" s="3">
        <v>0.01</v>
      </c>
      <c r="Q79" s="3">
        <v>7.39</v>
      </c>
      <c r="R79" s="3">
        <v>0.12</v>
      </c>
      <c r="S79" s="3">
        <v>5.16</v>
      </c>
      <c r="T79" s="3">
        <v>0.06</v>
      </c>
      <c r="U79" s="3">
        <v>2</v>
      </c>
      <c r="V79" s="3">
        <v>0.22</v>
      </c>
      <c r="W79" s="3">
        <v>0.56000000000000005</v>
      </c>
      <c r="X79" s="3">
        <v>0.06</v>
      </c>
      <c r="Y79" s="3">
        <v>1.01</v>
      </c>
      <c r="Z79" s="3">
        <v>0.09</v>
      </c>
      <c r="AA79" s="3">
        <v>19.809999999999999</v>
      </c>
      <c r="AB79" s="3">
        <v>0.23</v>
      </c>
      <c r="AC79" s="3">
        <v>0.89</v>
      </c>
      <c r="AD79" s="3">
        <v>0.02</v>
      </c>
      <c r="AE79" s="3">
        <v>634</v>
      </c>
      <c r="AF79" s="3">
        <v>58</v>
      </c>
      <c r="AG79" s="3">
        <v>441</v>
      </c>
      <c r="AH79" s="3">
        <v>23</v>
      </c>
      <c r="AI79" s="3">
        <v>53</v>
      </c>
      <c r="AJ79" s="3">
        <v>18</v>
      </c>
    </row>
    <row r="80" spans="1:36" x14ac:dyDescent="0.25">
      <c r="A80" s="7">
        <v>400</v>
      </c>
      <c r="B80" s="3" t="s">
        <v>4</v>
      </c>
      <c r="C80" s="3" t="s">
        <v>371</v>
      </c>
      <c r="D80" s="3"/>
      <c r="E80" s="3">
        <v>41</v>
      </c>
      <c r="F80" s="3">
        <v>0.43</v>
      </c>
      <c r="G80" s="3">
        <v>0.89</v>
      </c>
      <c r="H80" s="3">
        <v>0.08</v>
      </c>
      <c r="I80" s="3">
        <v>7.54</v>
      </c>
      <c r="J80" s="3">
        <v>0.12</v>
      </c>
      <c r="K80" s="3">
        <v>0.2</v>
      </c>
      <c r="L80" s="3">
        <v>0.03</v>
      </c>
      <c r="M80" s="3">
        <v>16.2</v>
      </c>
      <c r="N80" s="3">
        <v>0.13</v>
      </c>
      <c r="O80" s="3">
        <v>0.34</v>
      </c>
      <c r="P80" s="3">
        <v>0.01</v>
      </c>
      <c r="Q80" s="3">
        <v>7.19</v>
      </c>
      <c r="R80" s="3">
        <v>0.13</v>
      </c>
      <c r="S80" s="3">
        <v>5.46</v>
      </c>
      <c r="T80" s="3">
        <v>0.06</v>
      </c>
      <c r="U80" s="3">
        <v>2</v>
      </c>
      <c r="V80" s="3">
        <v>0.28000000000000003</v>
      </c>
      <c r="W80" s="3">
        <v>0.56000000000000005</v>
      </c>
      <c r="X80" s="3">
        <v>0.06</v>
      </c>
      <c r="Y80" s="3">
        <v>1.04</v>
      </c>
      <c r="Z80" s="3">
        <v>0.09</v>
      </c>
      <c r="AA80" s="3">
        <v>16.510000000000002</v>
      </c>
      <c r="AB80" s="3">
        <v>0.19</v>
      </c>
      <c r="AC80" s="3">
        <v>0.98</v>
      </c>
      <c r="AD80" s="3">
        <v>0.02</v>
      </c>
      <c r="AE80" s="3">
        <v>543</v>
      </c>
      <c r="AF80" s="3">
        <v>56</v>
      </c>
      <c r="AG80" s="3">
        <v>450</v>
      </c>
      <c r="AH80" s="3">
        <v>23</v>
      </c>
      <c r="AI80" s="3">
        <v>73</v>
      </c>
      <c r="AJ80" s="3">
        <v>19</v>
      </c>
    </row>
    <row r="81" spans="1:36" x14ac:dyDescent="0.25">
      <c r="A81" s="7">
        <v>401</v>
      </c>
      <c r="B81" s="3" t="s">
        <v>5</v>
      </c>
      <c r="C81" s="3" t="s">
        <v>372</v>
      </c>
      <c r="D81" s="3"/>
      <c r="E81" s="3">
        <v>38.299999999999997</v>
      </c>
      <c r="F81" s="3">
        <v>0.4</v>
      </c>
      <c r="G81" s="3">
        <v>0.78</v>
      </c>
      <c r="H81" s="3">
        <v>7.0000000000000007E-2</v>
      </c>
      <c r="I81" s="3">
        <v>6.71</v>
      </c>
      <c r="J81" s="3">
        <v>0.12</v>
      </c>
      <c r="K81" s="3">
        <v>0.17</v>
      </c>
      <c r="L81" s="3">
        <v>0.03</v>
      </c>
      <c r="M81" s="3">
        <v>15.2</v>
      </c>
      <c r="N81" s="3">
        <v>0.12</v>
      </c>
      <c r="O81" s="3">
        <v>0.31</v>
      </c>
      <c r="P81" s="3">
        <v>0.01</v>
      </c>
      <c r="Q81" s="3">
        <v>7.25</v>
      </c>
      <c r="R81" s="3">
        <v>0.13</v>
      </c>
      <c r="S81" s="3">
        <v>5.36</v>
      </c>
      <c r="T81" s="3">
        <v>0.05</v>
      </c>
      <c r="U81" s="3">
        <v>1.79</v>
      </c>
      <c r="V81" s="3">
        <v>0.28000000000000003</v>
      </c>
      <c r="W81" s="3">
        <v>0.56999999999999995</v>
      </c>
      <c r="X81" s="3">
        <v>0.06</v>
      </c>
      <c r="Y81" s="3">
        <v>1.03</v>
      </c>
      <c r="Z81" s="3">
        <v>0.09</v>
      </c>
      <c r="AA81" s="3">
        <v>21.46</v>
      </c>
      <c r="AB81" s="3">
        <v>0.23</v>
      </c>
      <c r="AC81" s="3">
        <v>0.92</v>
      </c>
      <c r="AD81" s="3">
        <v>0.02</v>
      </c>
      <c r="AE81" s="3">
        <v>574</v>
      </c>
      <c r="AF81" s="3">
        <v>55</v>
      </c>
      <c r="AG81" s="3">
        <v>405</v>
      </c>
      <c r="AH81" s="3">
        <v>21</v>
      </c>
      <c r="AI81" s="3">
        <v>67</v>
      </c>
      <c r="AJ81" s="3">
        <v>18</v>
      </c>
    </row>
    <row r="82" spans="1:36" x14ac:dyDescent="0.25">
      <c r="A82" s="7">
        <v>403</v>
      </c>
      <c r="B82" s="3" t="s">
        <v>6</v>
      </c>
      <c r="C82" s="3" t="s">
        <v>373</v>
      </c>
      <c r="D82" s="3"/>
      <c r="E82" s="3">
        <v>32.6</v>
      </c>
      <c r="F82" s="3">
        <v>0.32</v>
      </c>
      <c r="G82" s="3">
        <v>0.68</v>
      </c>
      <c r="H82" s="3">
        <v>0.08</v>
      </c>
      <c r="I82" s="3">
        <v>4.9000000000000004</v>
      </c>
      <c r="J82" s="3">
        <v>0.08</v>
      </c>
      <c r="K82" s="3">
        <v>0.17</v>
      </c>
      <c r="L82" s="3">
        <v>0.03</v>
      </c>
      <c r="M82" s="3">
        <v>15.9</v>
      </c>
      <c r="N82" s="3">
        <v>0.11</v>
      </c>
      <c r="O82" s="3">
        <v>0.35</v>
      </c>
      <c r="P82" s="3">
        <v>0.01</v>
      </c>
      <c r="Q82" s="3">
        <v>7.33</v>
      </c>
      <c r="R82" s="3">
        <v>0.1</v>
      </c>
      <c r="S82" s="3">
        <v>5.78</v>
      </c>
      <c r="T82" s="3">
        <v>0.06</v>
      </c>
      <c r="U82" s="3">
        <v>1.35</v>
      </c>
      <c r="V82" s="3">
        <v>0.2</v>
      </c>
      <c r="W82" s="3">
        <v>0.51</v>
      </c>
      <c r="X82" s="3">
        <v>0.06</v>
      </c>
      <c r="Y82" s="3">
        <v>1.07</v>
      </c>
      <c r="Z82" s="3">
        <v>0.09</v>
      </c>
      <c r="AA82" s="3">
        <v>28.62</v>
      </c>
      <c r="AB82" s="3">
        <v>0.28000000000000003</v>
      </c>
      <c r="AC82" s="3">
        <v>0.61</v>
      </c>
      <c r="AD82" s="3">
        <v>0.02</v>
      </c>
      <c r="AE82" s="3">
        <v>585</v>
      </c>
      <c r="AF82" s="3">
        <v>56</v>
      </c>
      <c r="AG82" s="3">
        <v>436</v>
      </c>
      <c r="AH82" s="3">
        <v>22</v>
      </c>
      <c r="AI82" s="3">
        <v>54</v>
      </c>
      <c r="AJ82" s="3">
        <v>17</v>
      </c>
    </row>
    <row r="83" spans="1:36" x14ac:dyDescent="0.25">
      <c r="A83" s="7">
        <v>416</v>
      </c>
      <c r="B83" s="3" t="s">
        <v>3</v>
      </c>
      <c r="C83" s="3" t="s">
        <v>374</v>
      </c>
      <c r="D83" s="3"/>
      <c r="E83" s="3">
        <v>41.5</v>
      </c>
      <c r="F83" s="3">
        <v>0.36</v>
      </c>
      <c r="G83" s="3">
        <v>0.85</v>
      </c>
      <c r="H83" s="3">
        <v>7.0000000000000007E-2</v>
      </c>
      <c r="I83" s="3">
        <v>8.19</v>
      </c>
      <c r="J83" s="3">
        <v>0.13</v>
      </c>
      <c r="K83" s="3">
        <v>0.33</v>
      </c>
      <c r="L83" s="3">
        <v>0.04</v>
      </c>
      <c r="M83" s="3">
        <v>26.3</v>
      </c>
      <c r="N83" s="3">
        <v>0.15</v>
      </c>
      <c r="O83" s="3">
        <v>0.33</v>
      </c>
      <c r="P83" s="3">
        <v>0.01</v>
      </c>
      <c r="Q83" s="3">
        <v>6.75</v>
      </c>
      <c r="R83" s="3">
        <v>0.13</v>
      </c>
      <c r="S83" s="3">
        <v>6.17</v>
      </c>
      <c r="T83" s="3">
        <v>0.06</v>
      </c>
      <c r="U83" s="3">
        <v>2.21</v>
      </c>
      <c r="V83" s="3">
        <v>0.26</v>
      </c>
      <c r="W83" s="3">
        <v>0.42</v>
      </c>
      <c r="X83" s="3">
        <v>0.06</v>
      </c>
      <c r="Y83" s="3">
        <v>0.86</v>
      </c>
      <c r="Z83" s="3">
        <v>0.08</v>
      </c>
      <c r="AA83" s="3">
        <v>5.21</v>
      </c>
      <c r="AB83" s="3">
        <v>0.08</v>
      </c>
      <c r="AC83" s="3">
        <v>0.67</v>
      </c>
      <c r="AD83" s="3">
        <v>0.02</v>
      </c>
      <c r="AE83" s="3">
        <v>608</v>
      </c>
      <c r="AF83" s="3">
        <v>63</v>
      </c>
      <c r="AG83" s="3">
        <v>282</v>
      </c>
      <c r="AH83" s="3">
        <v>22</v>
      </c>
      <c r="AI83" s="3">
        <v>39</v>
      </c>
      <c r="AJ83" s="3">
        <v>17</v>
      </c>
    </row>
    <row r="84" spans="1:36" x14ac:dyDescent="0.25">
      <c r="A84" s="7">
        <v>420</v>
      </c>
      <c r="B84" s="3" t="s">
        <v>3</v>
      </c>
      <c r="C84" s="3" t="s">
        <v>375</v>
      </c>
      <c r="D84" s="3"/>
      <c r="E84" s="3">
        <v>39.5</v>
      </c>
      <c r="F84" s="3">
        <v>0.41</v>
      </c>
      <c r="G84" s="3">
        <v>0.8</v>
      </c>
      <c r="H84" s="3">
        <v>7.0000000000000007E-2</v>
      </c>
      <c r="I84" s="3">
        <v>7.72</v>
      </c>
      <c r="J84" s="3">
        <v>0.12</v>
      </c>
      <c r="K84" s="3">
        <v>0.28000000000000003</v>
      </c>
      <c r="L84" s="3">
        <v>0.04</v>
      </c>
      <c r="M84" s="3">
        <v>29.3</v>
      </c>
      <c r="N84" s="3">
        <v>0.19</v>
      </c>
      <c r="O84" s="3">
        <v>0.28999999999999998</v>
      </c>
      <c r="P84" s="3">
        <v>0.01</v>
      </c>
      <c r="Q84" s="3">
        <v>6.67</v>
      </c>
      <c r="R84" s="3">
        <v>0.14000000000000001</v>
      </c>
      <c r="S84" s="3">
        <v>5.3</v>
      </c>
      <c r="T84" s="3">
        <v>0.05</v>
      </c>
      <c r="U84" s="3">
        <v>2.11</v>
      </c>
      <c r="V84" s="3">
        <v>0.3</v>
      </c>
      <c r="W84" s="3">
        <v>0.39</v>
      </c>
      <c r="X84" s="3">
        <v>0.06</v>
      </c>
      <c r="Y84" s="3">
        <v>0.88</v>
      </c>
      <c r="Z84" s="3">
        <v>0.08</v>
      </c>
      <c r="AA84" s="3">
        <v>5.9</v>
      </c>
      <c r="AB84" s="3">
        <v>0.09</v>
      </c>
      <c r="AC84" s="3">
        <v>0.72</v>
      </c>
      <c r="AD84" s="3">
        <v>0.02</v>
      </c>
      <c r="AE84" s="3">
        <v>850</v>
      </c>
      <c r="AF84" s="3">
        <v>63</v>
      </c>
      <c r="AG84" s="3">
        <v>371</v>
      </c>
      <c r="AH84" s="3">
        <v>22</v>
      </c>
      <c r="AI84" s="3">
        <v>73</v>
      </c>
      <c r="AJ84" s="3">
        <v>19</v>
      </c>
    </row>
    <row r="85" spans="1:36" x14ac:dyDescent="0.25">
      <c r="A85" s="7">
        <v>420</v>
      </c>
      <c r="B85" s="3" t="s">
        <v>3</v>
      </c>
      <c r="C85" s="3" t="s">
        <v>376</v>
      </c>
      <c r="D85" s="3"/>
      <c r="E85" s="3">
        <v>39</v>
      </c>
      <c r="F85" s="3">
        <v>0.41</v>
      </c>
      <c r="G85" s="3">
        <v>0.78</v>
      </c>
      <c r="H85" s="3">
        <v>7.0000000000000007E-2</v>
      </c>
      <c r="I85" s="3">
        <v>7.76</v>
      </c>
      <c r="J85" s="3">
        <v>0.11</v>
      </c>
      <c r="K85" s="3">
        <v>0.27</v>
      </c>
      <c r="L85" s="3">
        <v>0.04</v>
      </c>
      <c r="M85" s="3">
        <v>30.6</v>
      </c>
      <c r="N85" s="3">
        <v>0.21</v>
      </c>
      <c r="O85" s="3">
        <v>0.28999999999999998</v>
      </c>
      <c r="P85" s="3">
        <v>0.01</v>
      </c>
      <c r="Q85" s="3">
        <v>6.61</v>
      </c>
      <c r="R85" s="3">
        <v>0.1</v>
      </c>
      <c r="S85" s="3">
        <v>5.27</v>
      </c>
      <c r="T85" s="3">
        <v>0.05</v>
      </c>
      <c r="U85" s="3">
        <v>2.19</v>
      </c>
      <c r="V85" s="3">
        <v>0.2</v>
      </c>
      <c r="W85" s="3">
        <v>0.36</v>
      </c>
      <c r="X85" s="3">
        <v>0.06</v>
      </c>
      <c r="Y85" s="3">
        <v>0.84</v>
      </c>
      <c r="Z85" s="3">
        <v>0.08</v>
      </c>
      <c r="AA85" s="3">
        <v>5.15</v>
      </c>
      <c r="AB85" s="3">
        <v>0.09</v>
      </c>
      <c r="AC85" s="3">
        <v>0.7</v>
      </c>
      <c r="AD85" s="3">
        <v>0.02</v>
      </c>
      <c r="AE85" s="3">
        <v>965</v>
      </c>
      <c r="AF85" s="3">
        <v>71</v>
      </c>
      <c r="AG85" s="3">
        <v>348</v>
      </c>
      <c r="AH85" s="3">
        <v>25</v>
      </c>
      <c r="AI85" s="3">
        <v>96</v>
      </c>
      <c r="AJ85" s="3">
        <v>21</v>
      </c>
    </row>
    <row r="86" spans="1:36" x14ac:dyDescent="0.25">
      <c r="A86" s="7">
        <v>443</v>
      </c>
      <c r="B86" s="3" t="s">
        <v>3</v>
      </c>
      <c r="C86" s="3" t="s">
        <v>377</v>
      </c>
      <c r="D86" s="3"/>
      <c r="E86" s="3">
        <v>40</v>
      </c>
      <c r="F86" s="3">
        <v>0.42</v>
      </c>
      <c r="G86" s="3">
        <v>0.79</v>
      </c>
      <c r="H86" s="3">
        <v>7.0000000000000007E-2</v>
      </c>
      <c r="I86" s="3">
        <v>7.78</v>
      </c>
      <c r="J86" s="3">
        <v>0.11</v>
      </c>
      <c r="K86" s="3">
        <v>0.32</v>
      </c>
      <c r="L86" s="3">
        <v>0.04</v>
      </c>
      <c r="M86" s="3">
        <v>29</v>
      </c>
      <c r="N86" s="3">
        <v>0.2</v>
      </c>
      <c r="O86" s="3">
        <v>0.32</v>
      </c>
      <c r="P86" s="3">
        <v>0.02</v>
      </c>
      <c r="Q86" s="3">
        <v>6.43</v>
      </c>
      <c r="R86" s="3">
        <v>0.09</v>
      </c>
      <c r="S86" s="3">
        <v>5.69</v>
      </c>
      <c r="T86" s="3">
        <v>0.06</v>
      </c>
      <c r="U86" s="3">
        <v>2.0099999999999998</v>
      </c>
      <c r="V86" s="3">
        <v>0.2</v>
      </c>
      <c r="W86" s="3">
        <v>0.43</v>
      </c>
      <c r="X86" s="3">
        <v>0.06</v>
      </c>
      <c r="Y86" s="3">
        <v>0.83</v>
      </c>
      <c r="Z86" s="3">
        <v>0.08</v>
      </c>
      <c r="AA86" s="3">
        <v>5.54</v>
      </c>
      <c r="AB86" s="3">
        <v>0.09</v>
      </c>
      <c r="AC86" s="3">
        <v>0.72</v>
      </c>
      <c r="AD86" s="3">
        <v>0.02</v>
      </c>
      <c r="AE86" s="3">
        <v>729</v>
      </c>
      <c r="AF86" s="3">
        <v>75</v>
      </c>
      <c r="AG86" s="3">
        <v>354</v>
      </c>
      <c r="AH86" s="3">
        <v>28</v>
      </c>
      <c r="AI86" s="3">
        <v>48</v>
      </c>
      <c r="AJ86" s="3">
        <v>20</v>
      </c>
    </row>
    <row r="87" spans="1:36" x14ac:dyDescent="0.25">
      <c r="A87" s="7">
        <v>499</v>
      </c>
      <c r="B87" s="3" t="s">
        <v>8</v>
      </c>
      <c r="C87" s="3" t="s">
        <v>378</v>
      </c>
      <c r="D87" s="3"/>
      <c r="E87" s="3">
        <v>44.8</v>
      </c>
      <c r="F87" s="3">
        <v>0.6</v>
      </c>
      <c r="G87" s="3">
        <v>1.02</v>
      </c>
      <c r="H87" s="3">
        <v>0.09</v>
      </c>
      <c r="I87" s="3">
        <v>8.74</v>
      </c>
      <c r="J87" s="3">
        <v>0.2</v>
      </c>
      <c r="K87" s="3">
        <v>0.41</v>
      </c>
      <c r="L87" s="3">
        <v>0.05</v>
      </c>
      <c r="M87" s="3">
        <v>19.399999999999999</v>
      </c>
      <c r="N87" s="3">
        <v>0.21</v>
      </c>
      <c r="O87" s="3">
        <v>0.39</v>
      </c>
      <c r="P87" s="3">
        <v>0.03</v>
      </c>
      <c r="Q87" s="3">
        <v>7.05</v>
      </c>
      <c r="R87" s="3">
        <v>0.17</v>
      </c>
      <c r="S87" s="3">
        <v>7.06</v>
      </c>
      <c r="T87" s="3">
        <v>0.1</v>
      </c>
      <c r="U87" s="3">
        <v>2.3199999999999998</v>
      </c>
      <c r="V87" s="3">
        <v>0.28000000000000003</v>
      </c>
      <c r="W87" s="3">
        <v>0.47</v>
      </c>
      <c r="X87" s="3">
        <v>7.0000000000000007E-2</v>
      </c>
      <c r="Y87" s="3">
        <v>0.91</v>
      </c>
      <c r="Z87" s="3">
        <v>0.11</v>
      </c>
      <c r="AA87" s="3">
        <v>6.59</v>
      </c>
      <c r="AB87" s="3">
        <v>0.16</v>
      </c>
      <c r="AC87" s="3">
        <v>0.72</v>
      </c>
      <c r="AD87" s="3">
        <v>0.03</v>
      </c>
      <c r="AE87" s="3">
        <v>445</v>
      </c>
      <c r="AF87" s="3">
        <v>87</v>
      </c>
      <c r="AG87" s="3">
        <v>298</v>
      </c>
      <c r="AH87" s="3">
        <v>40</v>
      </c>
      <c r="AI87" s="3">
        <v>130</v>
      </c>
      <c r="AJ87" s="3">
        <v>27</v>
      </c>
    </row>
    <row r="88" spans="1:36" x14ac:dyDescent="0.25">
      <c r="A88" s="7">
        <v>505</v>
      </c>
      <c r="B88" s="3" t="s">
        <v>3</v>
      </c>
      <c r="C88" s="3" t="s">
        <v>379</v>
      </c>
      <c r="D88" s="3"/>
      <c r="E88" s="3">
        <v>39.299999999999997</v>
      </c>
      <c r="F88" s="3">
        <v>0.38</v>
      </c>
      <c r="G88" s="3">
        <v>0.75</v>
      </c>
      <c r="H88" s="3">
        <v>7.0000000000000007E-2</v>
      </c>
      <c r="I88" s="3">
        <v>7.8</v>
      </c>
      <c r="J88" s="3">
        <v>0.1</v>
      </c>
      <c r="K88" s="3">
        <v>0.32</v>
      </c>
      <c r="L88" s="3">
        <v>0.03</v>
      </c>
      <c r="M88" s="3">
        <v>30.2</v>
      </c>
      <c r="N88" s="3">
        <v>0.19</v>
      </c>
      <c r="O88" s="3">
        <v>0.28000000000000003</v>
      </c>
      <c r="P88" s="3">
        <v>0.01</v>
      </c>
      <c r="Q88" s="3">
        <v>6.54</v>
      </c>
      <c r="R88" s="3">
        <v>0.09</v>
      </c>
      <c r="S88" s="3">
        <v>5.39</v>
      </c>
      <c r="T88" s="3">
        <v>0.05</v>
      </c>
      <c r="U88" s="3">
        <v>2.15</v>
      </c>
      <c r="V88" s="3">
        <v>0.18</v>
      </c>
      <c r="W88" s="3">
        <v>0.39</v>
      </c>
      <c r="X88" s="3">
        <v>0.06</v>
      </c>
      <c r="Y88" s="3">
        <v>0.82</v>
      </c>
      <c r="Z88" s="3">
        <v>7.0000000000000007E-2</v>
      </c>
      <c r="AA88" s="3">
        <v>5.24</v>
      </c>
      <c r="AB88" s="3">
        <v>7.0000000000000007E-2</v>
      </c>
      <c r="AC88" s="3">
        <v>0.65</v>
      </c>
      <c r="AD88" s="3">
        <v>0.02</v>
      </c>
      <c r="AE88" s="3">
        <v>743</v>
      </c>
      <c r="AF88" s="3">
        <v>61</v>
      </c>
      <c r="AG88" s="3">
        <v>331</v>
      </c>
      <c r="AH88" s="3">
        <v>20</v>
      </c>
      <c r="AI88" s="3">
        <v>48</v>
      </c>
      <c r="AJ88" s="3">
        <v>17</v>
      </c>
    </row>
    <row r="89" spans="1:36" x14ac:dyDescent="0.25">
      <c r="A89" s="7">
        <v>507</v>
      </c>
      <c r="B89" s="3" t="s">
        <v>8</v>
      </c>
      <c r="C89" s="3" t="s">
        <v>380</v>
      </c>
      <c r="D89" s="3"/>
      <c r="E89" s="3">
        <v>44.1</v>
      </c>
      <c r="F89" s="3">
        <v>0.44</v>
      </c>
      <c r="G89" s="3">
        <v>1.05</v>
      </c>
      <c r="H89" s="3">
        <v>7.0000000000000007E-2</v>
      </c>
      <c r="I89" s="3">
        <v>8.6999999999999993</v>
      </c>
      <c r="J89" s="3">
        <v>0.17</v>
      </c>
      <c r="K89" s="3">
        <v>0.35</v>
      </c>
      <c r="L89" s="3">
        <v>0.04</v>
      </c>
      <c r="M89" s="3">
        <v>19.8</v>
      </c>
      <c r="N89" s="3">
        <v>0.15</v>
      </c>
      <c r="O89" s="3">
        <v>0.37</v>
      </c>
      <c r="P89" s="3">
        <v>0.01</v>
      </c>
      <c r="Q89" s="3">
        <v>7.02</v>
      </c>
      <c r="R89" s="3">
        <v>0.12</v>
      </c>
      <c r="S89" s="3">
        <v>6.75</v>
      </c>
      <c r="T89" s="3">
        <v>0.06</v>
      </c>
      <c r="U89" s="3">
        <v>2.13</v>
      </c>
      <c r="V89" s="3">
        <v>0.22</v>
      </c>
      <c r="W89" s="3">
        <v>0.5</v>
      </c>
      <c r="X89" s="3">
        <v>0.06</v>
      </c>
      <c r="Y89" s="3">
        <v>0.94</v>
      </c>
      <c r="Z89" s="3">
        <v>0.08</v>
      </c>
      <c r="AA89" s="3">
        <v>7.36</v>
      </c>
      <c r="AB89" s="3">
        <v>0.11</v>
      </c>
      <c r="AC89" s="3">
        <v>0.76</v>
      </c>
      <c r="AD89" s="3">
        <v>0.02</v>
      </c>
      <c r="AE89" s="3">
        <v>463</v>
      </c>
      <c r="AF89" s="3">
        <v>55</v>
      </c>
      <c r="AG89" s="3">
        <v>452</v>
      </c>
      <c r="AH89" s="3">
        <v>23</v>
      </c>
      <c r="AI89" s="3">
        <v>121</v>
      </c>
      <c r="AJ89" s="3">
        <v>21</v>
      </c>
    </row>
    <row r="90" spans="1:36" x14ac:dyDescent="0.25">
      <c r="A90" s="7">
        <v>509</v>
      </c>
      <c r="B90" s="3" t="s">
        <v>3</v>
      </c>
      <c r="C90" s="3" t="s">
        <v>381</v>
      </c>
      <c r="D90" s="3"/>
      <c r="E90" s="3">
        <v>39.9</v>
      </c>
      <c r="F90" s="3">
        <v>0.28999999999999998</v>
      </c>
      <c r="G90" s="3">
        <v>0.73</v>
      </c>
      <c r="H90" s="3">
        <v>7.0000000000000007E-2</v>
      </c>
      <c r="I90" s="3">
        <v>7.94</v>
      </c>
      <c r="J90" s="3">
        <v>0.09</v>
      </c>
      <c r="K90" s="3">
        <v>0.28999999999999998</v>
      </c>
      <c r="L90" s="3">
        <v>0.03</v>
      </c>
      <c r="M90" s="3">
        <v>29.7</v>
      </c>
      <c r="N90" s="3">
        <v>0.13</v>
      </c>
      <c r="O90" s="3">
        <v>0.26</v>
      </c>
      <c r="P90" s="3">
        <v>0.01</v>
      </c>
      <c r="Q90" s="3">
        <v>6.37</v>
      </c>
      <c r="R90" s="3">
        <v>0.08</v>
      </c>
      <c r="S90" s="3">
        <v>5.54</v>
      </c>
      <c r="T90" s="3">
        <v>0.05</v>
      </c>
      <c r="U90" s="3">
        <v>2.1800000000000002</v>
      </c>
      <c r="V90" s="3">
        <v>0.18</v>
      </c>
      <c r="W90" s="3">
        <v>0.42</v>
      </c>
      <c r="X90" s="3">
        <v>0.06</v>
      </c>
      <c r="Y90" s="3">
        <v>0.8</v>
      </c>
      <c r="Z90" s="3">
        <v>7.0000000000000007E-2</v>
      </c>
      <c r="AA90" s="3">
        <v>5.07</v>
      </c>
      <c r="AB90" s="3">
        <v>7.0000000000000007E-2</v>
      </c>
      <c r="AC90" s="3">
        <v>0.66</v>
      </c>
      <c r="AD90" s="3">
        <v>0.02</v>
      </c>
      <c r="AE90" s="3">
        <v>865</v>
      </c>
      <c r="AF90" s="3">
        <v>64</v>
      </c>
      <c r="AG90" s="3">
        <v>328</v>
      </c>
      <c r="AH90" s="3">
        <v>21</v>
      </c>
      <c r="AI90" s="3">
        <v>45</v>
      </c>
      <c r="AJ90" s="3">
        <v>17</v>
      </c>
    </row>
    <row r="91" spans="1:36" x14ac:dyDescent="0.25">
      <c r="A91" s="7">
        <v>548</v>
      </c>
      <c r="B91" s="3" t="s">
        <v>6</v>
      </c>
      <c r="C91" s="3" t="s">
        <v>382</v>
      </c>
      <c r="D91" s="3"/>
      <c r="E91" s="3">
        <v>36.200000000000003</v>
      </c>
      <c r="F91" s="3">
        <v>0.25</v>
      </c>
      <c r="G91" s="3">
        <v>0.78</v>
      </c>
      <c r="H91" s="3">
        <v>0.06</v>
      </c>
      <c r="I91" s="3">
        <v>5.91</v>
      </c>
      <c r="J91" s="3">
        <v>7.0000000000000007E-2</v>
      </c>
      <c r="K91" s="3">
        <v>0.21</v>
      </c>
      <c r="L91" s="3">
        <v>0.03</v>
      </c>
      <c r="M91" s="3">
        <v>15.8</v>
      </c>
      <c r="N91" s="3">
        <v>7.0000000000000007E-2</v>
      </c>
      <c r="O91" s="3">
        <v>0.31</v>
      </c>
      <c r="P91" s="3">
        <v>0.01</v>
      </c>
      <c r="Q91" s="3">
        <v>7.31</v>
      </c>
      <c r="R91" s="3">
        <v>0.08</v>
      </c>
      <c r="S91" s="3">
        <v>5.49</v>
      </c>
      <c r="T91" s="3">
        <v>0.04</v>
      </c>
      <c r="U91" s="3">
        <v>1.74</v>
      </c>
      <c r="V91" s="3">
        <v>0.18</v>
      </c>
      <c r="W91" s="3">
        <v>0.57999999999999996</v>
      </c>
      <c r="X91" s="3">
        <v>0.06</v>
      </c>
      <c r="Y91" s="3">
        <v>1.04</v>
      </c>
      <c r="Z91" s="3">
        <v>7.0000000000000007E-2</v>
      </c>
      <c r="AA91" s="3">
        <v>23.81</v>
      </c>
      <c r="AB91" s="3">
        <v>0.17</v>
      </c>
      <c r="AC91" s="3">
        <v>0.64</v>
      </c>
      <c r="AD91" s="3">
        <v>0.01</v>
      </c>
      <c r="AE91" s="3">
        <v>449</v>
      </c>
      <c r="AF91" s="3">
        <v>41</v>
      </c>
      <c r="AG91" s="3">
        <v>480</v>
      </c>
      <c r="AH91" s="3">
        <v>14</v>
      </c>
      <c r="AI91" s="3">
        <v>109</v>
      </c>
      <c r="AJ91" s="3">
        <v>15</v>
      </c>
    </row>
    <row r="92" spans="1:36" x14ac:dyDescent="0.25">
      <c r="A92" s="7">
        <v>552</v>
      </c>
      <c r="B92" s="3" t="s">
        <v>4</v>
      </c>
      <c r="C92" s="3" t="s">
        <v>383</v>
      </c>
      <c r="D92" s="3"/>
      <c r="E92" s="3">
        <v>42.6</v>
      </c>
      <c r="F92" s="3">
        <v>0.28000000000000003</v>
      </c>
      <c r="G92" s="3">
        <v>0.95</v>
      </c>
      <c r="H92" s="3">
        <v>7.0000000000000007E-2</v>
      </c>
      <c r="I92" s="3">
        <v>8.23</v>
      </c>
      <c r="J92" s="3">
        <v>0.08</v>
      </c>
      <c r="K92" s="3">
        <v>0.26</v>
      </c>
      <c r="L92" s="3">
        <v>0.03</v>
      </c>
      <c r="M92" s="3">
        <v>17.399999999999999</v>
      </c>
      <c r="N92" s="3">
        <v>7.0000000000000007E-2</v>
      </c>
      <c r="O92" s="3">
        <v>0.33</v>
      </c>
      <c r="P92" s="3">
        <v>0.01</v>
      </c>
      <c r="Q92" s="3">
        <v>7.9</v>
      </c>
      <c r="R92" s="3">
        <v>0.08</v>
      </c>
      <c r="S92" s="3">
        <v>7.24</v>
      </c>
      <c r="T92" s="3">
        <v>0.05</v>
      </c>
      <c r="U92" s="3">
        <v>1.96</v>
      </c>
      <c r="V92" s="3">
        <v>0.16</v>
      </c>
      <c r="W92" s="3">
        <v>0.55000000000000004</v>
      </c>
      <c r="X92" s="3">
        <v>0.06</v>
      </c>
      <c r="Y92" s="3">
        <v>1.27</v>
      </c>
      <c r="Z92" s="3">
        <v>7.0000000000000007E-2</v>
      </c>
      <c r="AA92" s="3">
        <v>9.9</v>
      </c>
      <c r="AB92" s="3">
        <v>0.1</v>
      </c>
      <c r="AC92" s="3">
        <v>1.31</v>
      </c>
      <c r="AD92" s="3">
        <v>0.02</v>
      </c>
      <c r="AE92" s="3">
        <v>539</v>
      </c>
      <c r="AF92" s="3">
        <v>45</v>
      </c>
      <c r="AG92" s="3">
        <v>418</v>
      </c>
      <c r="AH92" s="3">
        <v>15</v>
      </c>
      <c r="AI92" s="3">
        <v>110</v>
      </c>
      <c r="AJ92" s="3">
        <v>16</v>
      </c>
    </row>
    <row r="93" spans="1:36" x14ac:dyDescent="0.25">
      <c r="A93" s="7">
        <v>554</v>
      </c>
      <c r="B93" s="3" t="s">
        <v>4</v>
      </c>
      <c r="C93" s="3" t="s">
        <v>384</v>
      </c>
      <c r="D93" s="3"/>
      <c r="E93" s="3">
        <v>44</v>
      </c>
      <c r="F93" s="3">
        <v>0.38</v>
      </c>
      <c r="G93" s="3">
        <v>0.93</v>
      </c>
      <c r="H93" s="3">
        <v>7.0000000000000007E-2</v>
      </c>
      <c r="I93" s="3">
        <v>8.83</v>
      </c>
      <c r="J93" s="3">
        <v>0.11</v>
      </c>
      <c r="K93" s="3">
        <v>0.23</v>
      </c>
      <c r="L93" s="3">
        <v>0.04</v>
      </c>
      <c r="M93" s="3">
        <v>20.5</v>
      </c>
      <c r="N93" s="3">
        <v>0.12</v>
      </c>
      <c r="O93" s="3">
        <v>0.31</v>
      </c>
      <c r="P93" s="3">
        <v>0.01</v>
      </c>
      <c r="Q93" s="3">
        <v>7.12</v>
      </c>
      <c r="R93" s="3">
        <v>0.1</v>
      </c>
      <c r="S93" s="3">
        <v>6.84</v>
      </c>
      <c r="T93" s="3">
        <v>0.06</v>
      </c>
      <c r="U93" s="3">
        <v>1.5</v>
      </c>
      <c r="V93" s="3">
        <v>0.19</v>
      </c>
      <c r="W93" s="3">
        <v>0.55000000000000004</v>
      </c>
      <c r="X93" s="3">
        <v>0.06</v>
      </c>
      <c r="Y93" s="3">
        <v>1.21</v>
      </c>
      <c r="Z93" s="3">
        <v>0.08</v>
      </c>
      <c r="AA93" s="3">
        <v>6.91</v>
      </c>
      <c r="AB93" s="3">
        <v>0.09</v>
      </c>
      <c r="AC93" s="3">
        <v>0.95</v>
      </c>
      <c r="AD93" s="3">
        <v>0.02</v>
      </c>
      <c r="AE93" s="3">
        <v>508</v>
      </c>
      <c r="AF93" s="3">
        <v>65</v>
      </c>
      <c r="AG93" s="3">
        <v>327</v>
      </c>
      <c r="AH93" s="3">
        <v>24</v>
      </c>
      <c r="AI93" s="3">
        <v>79</v>
      </c>
      <c r="AJ93" s="3">
        <v>19</v>
      </c>
    </row>
    <row r="94" spans="1:36" x14ac:dyDescent="0.25">
      <c r="A94" s="7">
        <v>556</v>
      </c>
      <c r="B94" s="3" t="s">
        <v>5</v>
      </c>
      <c r="C94" s="3" t="s">
        <v>385</v>
      </c>
      <c r="D94" s="3"/>
      <c r="E94" s="3">
        <v>40.200000000000003</v>
      </c>
      <c r="F94" s="3">
        <v>0.25</v>
      </c>
      <c r="G94" s="3">
        <v>0.89</v>
      </c>
      <c r="H94" s="3">
        <v>0.06</v>
      </c>
      <c r="I94" s="3">
        <v>7.49</v>
      </c>
      <c r="J94" s="3">
        <v>7.0000000000000007E-2</v>
      </c>
      <c r="K94" s="3">
        <v>0.24</v>
      </c>
      <c r="L94" s="3">
        <v>0.03</v>
      </c>
      <c r="M94" s="3">
        <v>17</v>
      </c>
      <c r="N94" s="3">
        <v>0.06</v>
      </c>
      <c r="O94" s="3">
        <v>0.37</v>
      </c>
      <c r="P94" s="3">
        <v>0.01</v>
      </c>
      <c r="Q94" s="3">
        <v>7.07</v>
      </c>
      <c r="R94" s="3">
        <v>7.0000000000000007E-2</v>
      </c>
      <c r="S94" s="3">
        <v>6.07</v>
      </c>
      <c r="T94" s="3">
        <v>0.04</v>
      </c>
      <c r="U94" s="3">
        <v>2.2200000000000002</v>
      </c>
      <c r="V94" s="3">
        <v>0.16</v>
      </c>
      <c r="W94" s="3">
        <v>0.55000000000000004</v>
      </c>
      <c r="X94" s="3">
        <v>0.06</v>
      </c>
      <c r="Y94" s="3">
        <v>1.07</v>
      </c>
      <c r="Z94" s="3">
        <v>7.0000000000000007E-2</v>
      </c>
      <c r="AA94" s="3">
        <v>15.3</v>
      </c>
      <c r="AB94" s="3">
        <v>0.12</v>
      </c>
      <c r="AC94" s="3">
        <v>1.49</v>
      </c>
      <c r="AD94" s="3">
        <v>0.02</v>
      </c>
      <c r="AE94" s="3">
        <v>525</v>
      </c>
      <c r="AF94" s="3">
        <v>41</v>
      </c>
      <c r="AG94" s="3">
        <v>474</v>
      </c>
      <c r="AH94" s="3">
        <v>14</v>
      </c>
      <c r="AI94" s="3">
        <v>67</v>
      </c>
      <c r="AJ94" s="3">
        <v>14</v>
      </c>
    </row>
    <row r="95" spans="1:36" x14ac:dyDescent="0.25">
      <c r="A95" s="7">
        <v>558</v>
      </c>
      <c r="B95" s="3" t="s">
        <v>6</v>
      </c>
      <c r="C95" s="3" t="s">
        <v>386</v>
      </c>
      <c r="D95" s="3"/>
      <c r="E95" s="3">
        <v>32.799999999999997</v>
      </c>
      <c r="F95" s="3">
        <v>0.28999999999999998</v>
      </c>
      <c r="G95" s="3">
        <v>0.72</v>
      </c>
      <c r="H95" s="3">
        <v>0.06</v>
      </c>
      <c r="I95" s="3">
        <v>5.72</v>
      </c>
      <c r="J95" s="3">
        <v>7.0000000000000007E-2</v>
      </c>
      <c r="K95" s="3">
        <v>0.19</v>
      </c>
      <c r="L95" s="3">
        <v>0.03</v>
      </c>
      <c r="M95" s="3">
        <v>15.8</v>
      </c>
      <c r="N95" s="3">
        <v>0.1</v>
      </c>
      <c r="O95" s="3">
        <v>0.39</v>
      </c>
      <c r="P95" s="3">
        <v>0.01</v>
      </c>
      <c r="Q95" s="3">
        <v>8.09</v>
      </c>
      <c r="R95" s="3">
        <v>0.09</v>
      </c>
      <c r="S95" s="3">
        <v>5.13</v>
      </c>
      <c r="T95" s="3">
        <v>0.04</v>
      </c>
      <c r="U95" s="3">
        <v>1.57</v>
      </c>
      <c r="V95" s="3">
        <v>0.17</v>
      </c>
      <c r="W95" s="3">
        <v>0.5</v>
      </c>
      <c r="X95" s="3">
        <v>0.06</v>
      </c>
      <c r="Y95" s="3">
        <v>0.99</v>
      </c>
      <c r="Z95" s="3">
        <v>7.0000000000000007E-2</v>
      </c>
      <c r="AA95" s="3">
        <v>27.39</v>
      </c>
      <c r="AB95" s="3">
        <v>0.22</v>
      </c>
      <c r="AC95" s="3">
        <v>0.56999999999999995</v>
      </c>
      <c r="AD95" s="3">
        <v>0.01</v>
      </c>
      <c r="AE95" s="3">
        <v>504</v>
      </c>
      <c r="AF95" s="3">
        <v>39</v>
      </c>
      <c r="AG95" s="3">
        <v>563</v>
      </c>
      <c r="AH95" s="3">
        <v>14</v>
      </c>
      <c r="AI95" s="3">
        <v>84</v>
      </c>
      <c r="AJ95" s="3">
        <v>15</v>
      </c>
    </row>
    <row r="96" spans="1:36" x14ac:dyDescent="0.25">
      <c r="A96" s="7">
        <v>560</v>
      </c>
      <c r="B96" s="3" t="s">
        <v>6</v>
      </c>
      <c r="C96" s="3" t="s">
        <v>387</v>
      </c>
      <c r="D96" s="3"/>
      <c r="E96" s="3">
        <v>35.1</v>
      </c>
      <c r="F96" s="3">
        <v>0.32</v>
      </c>
      <c r="G96" s="3">
        <v>0.75</v>
      </c>
      <c r="H96" s="3">
        <v>0.06</v>
      </c>
      <c r="I96" s="3">
        <v>6.17</v>
      </c>
      <c r="J96" s="3">
        <v>0.08</v>
      </c>
      <c r="K96" s="3">
        <v>0.19</v>
      </c>
      <c r="L96" s="3">
        <v>0.03</v>
      </c>
      <c r="M96" s="3">
        <v>16</v>
      </c>
      <c r="N96" s="3">
        <v>0.1</v>
      </c>
      <c r="O96" s="3">
        <v>0.38</v>
      </c>
      <c r="P96" s="3">
        <v>0.01</v>
      </c>
      <c r="Q96" s="3">
        <v>7.83</v>
      </c>
      <c r="R96" s="3">
        <v>0.1</v>
      </c>
      <c r="S96" s="3">
        <v>5.2</v>
      </c>
      <c r="T96" s="3">
        <v>0.04</v>
      </c>
      <c r="U96" s="3">
        <v>2.02</v>
      </c>
      <c r="V96" s="3">
        <v>0.22</v>
      </c>
      <c r="W96" s="3">
        <v>0.54</v>
      </c>
      <c r="X96" s="3">
        <v>0.06</v>
      </c>
      <c r="Y96" s="3">
        <v>1.05</v>
      </c>
      <c r="Z96" s="3">
        <v>0.08</v>
      </c>
      <c r="AA96" s="3">
        <v>23.12</v>
      </c>
      <c r="AB96" s="3">
        <v>0.2</v>
      </c>
      <c r="AC96" s="3">
        <v>1.54</v>
      </c>
      <c r="AD96" s="3">
        <v>0.02</v>
      </c>
      <c r="AE96" s="3">
        <v>508</v>
      </c>
      <c r="AF96" s="3">
        <v>41</v>
      </c>
      <c r="AG96" s="3">
        <v>457</v>
      </c>
      <c r="AH96" s="3">
        <v>14</v>
      </c>
      <c r="AI96" s="3">
        <v>67</v>
      </c>
      <c r="AJ96" s="3">
        <v>15</v>
      </c>
    </row>
    <row r="97" spans="1:36" x14ac:dyDescent="0.25">
      <c r="A97" s="7">
        <v>593</v>
      </c>
      <c r="B97" s="3" t="s">
        <v>5</v>
      </c>
      <c r="C97" s="3" t="s">
        <v>388</v>
      </c>
      <c r="D97" s="3"/>
      <c r="E97" s="3">
        <v>38.799999999999997</v>
      </c>
      <c r="F97" s="3">
        <v>0.44</v>
      </c>
      <c r="G97" s="3">
        <v>0.79</v>
      </c>
      <c r="H97" s="3">
        <v>0.09</v>
      </c>
      <c r="I97" s="3">
        <v>6.84</v>
      </c>
      <c r="J97" s="3">
        <v>0.13</v>
      </c>
      <c r="K97" s="3">
        <v>0.22</v>
      </c>
      <c r="L97" s="3">
        <v>0.04</v>
      </c>
      <c r="M97" s="3">
        <v>16.100000000000001</v>
      </c>
      <c r="N97" s="3">
        <v>0.14000000000000001</v>
      </c>
      <c r="O97" s="3">
        <v>0.28000000000000003</v>
      </c>
      <c r="P97" s="3">
        <v>0.02</v>
      </c>
      <c r="Q97" s="3">
        <v>7.37</v>
      </c>
      <c r="R97" s="3">
        <v>0.13</v>
      </c>
      <c r="S97" s="3">
        <v>5.49</v>
      </c>
      <c r="T97" s="3">
        <v>7.0000000000000007E-2</v>
      </c>
      <c r="U97" s="3">
        <v>1.84</v>
      </c>
      <c r="V97" s="3">
        <v>0.24</v>
      </c>
      <c r="W97" s="3">
        <v>0.61</v>
      </c>
      <c r="X97" s="3">
        <v>7.0000000000000007E-2</v>
      </c>
      <c r="Y97" s="3">
        <v>1.08</v>
      </c>
      <c r="Z97" s="3">
        <v>0.1</v>
      </c>
      <c r="AA97" s="3">
        <v>19.53</v>
      </c>
      <c r="AB97" s="3">
        <v>0.25</v>
      </c>
      <c r="AC97" s="3">
        <v>0.9</v>
      </c>
      <c r="AD97" s="3">
        <v>0.03</v>
      </c>
      <c r="AE97" s="3">
        <v>576</v>
      </c>
      <c r="AF97" s="3">
        <v>66</v>
      </c>
      <c r="AG97" s="3">
        <v>450</v>
      </c>
      <c r="AH97" s="3">
        <v>29</v>
      </c>
      <c r="AI97" s="3">
        <v>294</v>
      </c>
      <c r="AJ97" s="3">
        <v>24</v>
      </c>
    </row>
    <row r="98" spans="1:36" x14ac:dyDescent="0.25">
      <c r="A98" s="7">
        <v>594</v>
      </c>
      <c r="B98" s="3" t="s">
        <v>4</v>
      </c>
      <c r="C98" s="3" t="s">
        <v>389</v>
      </c>
      <c r="D98" s="3"/>
      <c r="E98" s="3">
        <v>38.5</v>
      </c>
      <c r="F98" s="3">
        <v>0.3</v>
      </c>
      <c r="G98" s="3">
        <v>0.8</v>
      </c>
      <c r="H98" s="3">
        <v>7.0000000000000007E-2</v>
      </c>
      <c r="I98" s="3">
        <v>6.63</v>
      </c>
      <c r="J98" s="3">
        <v>0.08</v>
      </c>
      <c r="K98" s="3">
        <v>0.19</v>
      </c>
      <c r="L98" s="3">
        <v>0.03</v>
      </c>
      <c r="M98" s="3">
        <v>17</v>
      </c>
      <c r="N98" s="3">
        <v>0.09</v>
      </c>
      <c r="O98" s="3">
        <v>0.23</v>
      </c>
      <c r="P98" s="3">
        <v>0.01</v>
      </c>
      <c r="Q98" s="3">
        <v>7.45</v>
      </c>
      <c r="R98" s="3">
        <v>0.09</v>
      </c>
      <c r="S98" s="3">
        <v>5.0599999999999996</v>
      </c>
      <c r="T98" s="3">
        <v>0.04</v>
      </c>
      <c r="U98" s="3">
        <v>1.79</v>
      </c>
      <c r="V98" s="3">
        <v>0.17</v>
      </c>
      <c r="W98" s="3">
        <v>0.57999999999999996</v>
      </c>
      <c r="X98" s="3">
        <v>0.06</v>
      </c>
      <c r="Y98" s="3">
        <v>1.05</v>
      </c>
      <c r="Z98" s="3">
        <v>7.0000000000000007E-2</v>
      </c>
      <c r="AA98" s="3">
        <v>19.829999999999998</v>
      </c>
      <c r="AB98" s="3">
        <v>0.16</v>
      </c>
      <c r="AC98" s="3">
        <v>0.74</v>
      </c>
      <c r="AD98" s="3">
        <v>0.01</v>
      </c>
      <c r="AE98" s="3">
        <v>515</v>
      </c>
      <c r="AF98" s="3">
        <v>46</v>
      </c>
      <c r="AG98" s="3">
        <v>423</v>
      </c>
      <c r="AH98" s="3">
        <v>16</v>
      </c>
      <c r="AI98" s="3">
        <v>103</v>
      </c>
      <c r="AJ98" s="3">
        <v>16</v>
      </c>
    </row>
    <row r="99" spans="1:36" x14ac:dyDescent="0.25">
      <c r="A99" s="7">
        <v>634</v>
      </c>
      <c r="B99" s="3" t="s">
        <v>6</v>
      </c>
      <c r="C99" s="3" t="s">
        <v>390</v>
      </c>
      <c r="D99" s="3"/>
      <c r="E99" s="3">
        <v>37.5</v>
      </c>
      <c r="F99" s="3">
        <v>0.35</v>
      </c>
      <c r="G99" s="3">
        <v>0.79</v>
      </c>
      <c r="H99" s="3">
        <v>7.0000000000000007E-2</v>
      </c>
      <c r="I99" s="3">
        <v>6.52</v>
      </c>
      <c r="J99" s="3">
        <v>0.09</v>
      </c>
      <c r="K99" s="3">
        <v>0.25</v>
      </c>
      <c r="L99" s="3">
        <v>0.03</v>
      </c>
      <c r="M99" s="3">
        <v>16.600000000000001</v>
      </c>
      <c r="N99" s="3">
        <v>0.1</v>
      </c>
      <c r="O99" s="3">
        <v>0.33</v>
      </c>
      <c r="P99" s="3">
        <v>0.01</v>
      </c>
      <c r="Q99" s="3">
        <v>7.39</v>
      </c>
      <c r="R99" s="3">
        <v>0.1</v>
      </c>
      <c r="S99" s="3">
        <v>5.84</v>
      </c>
      <c r="T99" s="3">
        <v>0.04</v>
      </c>
      <c r="U99" s="3">
        <v>1.78</v>
      </c>
      <c r="V99" s="3">
        <v>0.22</v>
      </c>
      <c r="W99" s="3">
        <v>0.55000000000000004</v>
      </c>
      <c r="X99" s="3">
        <v>0.06</v>
      </c>
      <c r="Y99" s="3">
        <v>0.98</v>
      </c>
      <c r="Z99" s="3">
        <v>0.08</v>
      </c>
      <c r="AA99" s="3">
        <v>20.72</v>
      </c>
      <c r="AB99" s="3">
        <v>0.18</v>
      </c>
      <c r="AC99" s="3">
        <v>0.56000000000000005</v>
      </c>
      <c r="AD99" s="3">
        <v>0.01</v>
      </c>
      <c r="AE99" s="3">
        <v>496</v>
      </c>
      <c r="AF99" s="3">
        <v>42</v>
      </c>
      <c r="AG99" s="3">
        <v>394</v>
      </c>
      <c r="AH99" s="3">
        <v>14</v>
      </c>
      <c r="AI99" s="3">
        <v>67</v>
      </c>
      <c r="AJ99" s="3">
        <v>15</v>
      </c>
    </row>
    <row r="100" spans="1:36" x14ac:dyDescent="0.25">
      <c r="A100" s="7">
        <v>638</v>
      </c>
      <c r="B100" s="3" t="s">
        <v>5</v>
      </c>
      <c r="C100" s="3" t="s">
        <v>391</v>
      </c>
      <c r="D100" s="3"/>
      <c r="E100" s="3">
        <v>36.9</v>
      </c>
      <c r="F100" s="3">
        <v>0.23</v>
      </c>
      <c r="G100" s="3">
        <v>0.76</v>
      </c>
      <c r="H100" s="3">
        <v>0.06</v>
      </c>
      <c r="I100" s="3">
        <v>6.26</v>
      </c>
      <c r="J100" s="3">
        <v>0.06</v>
      </c>
      <c r="K100" s="3">
        <v>0.18</v>
      </c>
      <c r="L100" s="3">
        <v>0.03</v>
      </c>
      <c r="M100" s="3">
        <v>15.8</v>
      </c>
      <c r="N100" s="3">
        <v>0.06</v>
      </c>
      <c r="O100" s="3">
        <v>0.31</v>
      </c>
      <c r="P100" s="3">
        <v>0.01</v>
      </c>
      <c r="Q100" s="3">
        <v>7.36</v>
      </c>
      <c r="R100" s="3">
        <v>7.0000000000000007E-2</v>
      </c>
      <c r="S100" s="3">
        <v>5.12</v>
      </c>
      <c r="T100" s="3">
        <v>0.03</v>
      </c>
      <c r="U100" s="3">
        <v>1.73</v>
      </c>
      <c r="V100" s="3">
        <v>0.16</v>
      </c>
      <c r="W100" s="3">
        <v>0.55000000000000004</v>
      </c>
      <c r="X100" s="3">
        <v>0.06</v>
      </c>
      <c r="Y100" s="3">
        <v>1.02</v>
      </c>
      <c r="Z100" s="3">
        <v>7.0000000000000007E-2</v>
      </c>
      <c r="AA100" s="3">
        <v>23</v>
      </c>
      <c r="AB100" s="3">
        <v>0.16</v>
      </c>
      <c r="AC100" s="3">
        <v>0.84</v>
      </c>
      <c r="AD100" s="3">
        <v>0.01</v>
      </c>
      <c r="AE100" s="3">
        <v>544</v>
      </c>
      <c r="AF100" s="3">
        <v>39</v>
      </c>
      <c r="AG100" s="3">
        <v>559</v>
      </c>
      <c r="AH100" s="3">
        <v>13</v>
      </c>
      <c r="AI100" s="3">
        <v>74</v>
      </c>
      <c r="AJ100" s="3">
        <v>14</v>
      </c>
    </row>
    <row r="101" spans="1:36" x14ac:dyDescent="0.25">
      <c r="A101" s="7">
        <v>642</v>
      </c>
      <c r="B101" s="3" t="s">
        <v>96</v>
      </c>
      <c r="C101" s="3" t="s">
        <v>392</v>
      </c>
      <c r="D101" s="3"/>
      <c r="E101" s="3">
        <v>47.4</v>
      </c>
      <c r="F101" s="3">
        <v>0.35</v>
      </c>
      <c r="G101" s="3">
        <v>1.08</v>
      </c>
      <c r="H101" s="3">
        <v>7.0000000000000007E-2</v>
      </c>
      <c r="I101" s="3">
        <v>11.43</v>
      </c>
      <c r="J101" s="3">
        <v>0.11</v>
      </c>
      <c r="K101" s="3">
        <v>0.24</v>
      </c>
      <c r="L101" s="3">
        <v>0.03</v>
      </c>
      <c r="M101" s="3">
        <v>16.5</v>
      </c>
      <c r="N101" s="3">
        <v>0.08</v>
      </c>
      <c r="O101" s="3">
        <v>0.3</v>
      </c>
      <c r="P101" s="3">
        <v>0.01</v>
      </c>
      <c r="Q101" s="3">
        <v>7.63</v>
      </c>
      <c r="R101" s="3">
        <v>0.08</v>
      </c>
      <c r="S101" s="3">
        <v>6.92</v>
      </c>
      <c r="T101" s="3">
        <v>0.05</v>
      </c>
      <c r="U101" s="3">
        <v>2.5099999999999998</v>
      </c>
      <c r="V101" s="3">
        <v>0.18</v>
      </c>
      <c r="W101" s="3">
        <v>0.45</v>
      </c>
      <c r="X101" s="3">
        <v>0.06</v>
      </c>
      <c r="Y101" s="3">
        <v>1.0900000000000001</v>
      </c>
      <c r="Z101" s="3">
        <v>7.0000000000000007E-2</v>
      </c>
      <c r="AA101" s="3">
        <v>3.73</v>
      </c>
      <c r="AB101" s="3">
        <v>0.05</v>
      </c>
      <c r="AC101" s="3">
        <v>0.53</v>
      </c>
      <c r="AD101" s="3">
        <v>0.01</v>
      </c>
      <c r="AE101" s="3">
        <v>899</v>
      </c>
      <c r="AF101" s="3">
        <v>49</v>
      </c>
      <c r="AG101" s="3">
        <v>189</v>
      </c>
      <c r="AH101" s="3">
        <v>12</v>
      </c>
      <c r="AI101" s="3">
        <v>35</v>
      </c>
      <c r="AJ101" s="3">
        <v>14</v>
      </c>
    </row>
    <row r="102" spans="1:36" x14ac:dyDescent="0.25">
      <c r="A102" s="7">
        <v>675</v>
      </c>
      <c r="B102" s="3" t="s">
        <v>4</v>
      </c>
      <c r="C102" s="3" t="s">
        <v>393</v>
      </c>
      <c r="D102" s="3"/>
      <c r="E102" s="3">
        <v>39.1</v>
      </c>
      <c r="F102" s="3">
        <v>0.35</v>
      </c>
      <c r="G102" s="3">
        <v>0.83</v>
      </c>
      <c r="H102" s="3">
        <v>7.0000000000000007E-2</v>
      </c>
      <c r="I102" s="3">
        <v>6.93</v>
      </c>
      <c r="J102" s="3">
        <v>0.09</v>
      </c>
      <c r="K102" s="3">
        <v>0.19</v>
      </c>
      <c r="L102" s="3">
        <v>0.03</v>
      </c>
      <c r="M102" s="3">
        <v>15.8</v>
      </c>
      <c r="N102" s="3">
        <v>0.1</v>
      </c>
      <c r="O102" s="3">
        <v>0.25</v>
      </c>
      <c r="P102" s="3">
        <v>0.01</v>
      </c>
      <c r="Q102" s="3">
        <v>7.5</v>
      </c>
      <c r="R102" s="3">
        <v>0.09</v>
      </c>
      <c r="S102" s="3">
        <v>5.45</v>
      </c>
      <c r="T102" s="3">
        <v>0.04</v>
      </c>
      <c r="U102" s="3">
        <v>1.88</v>
      </c>
      <c r="V102" s="3">
        <v>0.18</v>
      </c>
      <c r="W102" s="3">
        <v>0.56999999999999995</v>
      </c>
      <c r="X102" s="3">
        <v>0.06</v>
      </c>
      <c r="Y102" s="3">
        <v>1.01</v>
      </c>
      <c r="Z102" s="3">
        <v>0.08</v>
      </c>
      <c r="AA102" s="3">
        <v>19.62</v>
      </c>
      <c r="AB102" s="3">
        <v>0.18</v>
      </c>
      <c r="AC102" s="3">
        <v>0.75</v>
      </c>
      <c r="AD102" s="3">
        <v>0.01</v>
      </c>
      <c r="AE102" s="3">
        <v>549</v>
      </c>
      <c r="AF102" s="3">
        <v>44</v>
      </c>
      <c r="AG102" s="3">
        <v>470</v>
      </c>
      <c r="AH102" s="3">
        <v>15</v>
      </c>
      <c r="AI102" s="3">
        <v>65</v>
      </c>
      <c r="AJ102" s="3">
        <v>15</v>
      </c>
    </row>
    <row r="103" spans="1:36" x14ac:dyDescent="0.25">
      <c r="A103" s="7">
        <v>679</v>
      </c>
      <c r="B103" s="3" t="s">
        <v>4</v>
      </c>
      <c r="C103" s="3" t="s">
        <v>394</v>
      </c>
      <c r="D103" s="3"/>
      <c r="E103" s="3">
        <v>40.1</v>
      </c>
      <c r="F103" s="3">
        <v>0.44</v>
      </c>
      <c r="G103" s="3">
        <v>0.85</v>
      </c>
      <c r="H103" s="3">
        <v>7.0000000000000007E-2</v>
      </c>
      <c r="I103" s="3">
        <v>7.29</v>
      </c>
      <c r="J103" s="3">
        <v>0.14000000000000001</v>
      </c>
      <c r="K103" s="3">
        <v>0.21</v>
      </c>
      <c r="L103" s="3">
        <v>0.04</v>
      </c>
      <c r="M103" s="3">
        <v>16.2</v>
      </c>
      <c r="N103" s="3">
        <v>0.14000000000000001</v>
      </c>
      <c r="O103" s="3">
        <v>0.32</v>
      </c>
      <c r="P103" s="3">
        <v>0.02</v>
      </c>
      <c r="Q103" s="3">
        <v>7.27</v>
      </c>
      <c r="R103" s="3">
        <v>0.15</v>
      </c>
      <c r="S103" s="3">
        <v>5.61</v>
      </c>
      <c r="T103" s="3">
        <v>0.06</v>
      </c>
      <c r="U103" s="3">
        <v>2.04</v>
      </c>
      <c r="V103" s="3">
        <v>0.31</v>
      </c>
      <c r="W103" s="3">
        <v>0.56999999999999995</v>
      </c>
      <c r="X103" s="3">
        <v>0.06</v>
      </c>
      <c r="Y103" s="3">
        <v>1.03</v>
      </c>
      <c r="Z103" s="3">
        <v>0.09</v>
      </c>
      <c r="AA103" s="3">
        <v>17.510000000000002</v>
      </c>
      <c r="AB103" s="3">
        <v>0.21</v>
      </c>
      <c r="AC103" s="3">
        <v>0.9</v>
      </c>
      <c r="AD103" s="3">
        <v>0.02</v>
      </c>
      <c r="AE103" s="3">
        <v>571</v>
      </c>
      <c r="AF103" s="3">
        <v>59</v>
      </c>
      <c r="AG103" s="3">
        <v>541</v>
      </c>
      <c r="AH103" s="3">
        <v>26</v>
      </c>
      <c r="AI103" s="3">
        <v>161</v>
      </c>
      <c r="AJ103" s="3">
        <v>21</v>
      </c>
    </row>
    <row r="104" spans="1:36" x14ac:dyDescent="0.25">
      <c r="A104" s="7">
        <v>680</v>
      </c>
      <c r="B104" s="3" t="s">
        <v>5</v>
      </c>
      <c r="C104" s="3" t="s">
        <v>395</v>
      </c>
      <c r="D104" s="3"/>
      <c r="E104" s="3">
        <v>38.200000000000003</v>
      </c>
      <c r="F104" s="3">
        <v>0.24</v>
      </c>
      <c r="G104" s="3">
        <v>0.78</v>
      </c>
      <c r="H104" s="3">
        <v>0.06</v>
      </c>
      <c r="I104" s="3">
        <v>6.69</v>
      </c>
      <c r="J104" s="3">
        <v>7.0000000000000007E-2</v>
      </c>
      <c r="K104" s="3">
        <v>0.19</v>
      </c>
      <c r="L104" s="3">
        <v>0.03</v>
      </c>
      <c r="M104" s="3">
        <v>16</v>
      </c>
      <c r="N104" s="3">
        <v>0.06</v>
      </c>
      <c r="O104" s="3">
        <v>0.31</v>
      </c>
      <c r="P104" s="3">
        <v>0.01</v>
      </c>
      <c r="Q104" s="3">
        <v>7.23</v>
      </c>
      <c r="R104" s="3">
        <v>7.0000000000000007E-2</v>
      </c>
      <c r="S104" s="3">
        <v>5.45</v>
      </c>
      <c r="T104" s="3">
        <v>0.04</v>
      </c>
      <c r="U104" s="3">
        <v>1.93</v>
      </c>
      <c r="V104" s="3">
        <v>0.16</v>
      </c>
      <c r="W104" s="3">
        <v>0.57999999999999996</v>
      </c>
      <c r="X104" s="3">
        <v>0.06</v>
      </c>
      <c r="Y104" s="3">
        <v>1.03</v>
      </c>
      <c r="Z104" s="3">
        <v>7.0000000000000007E-2</v>
      </c>
      <c r="AA104" s="3">
        <v>20.62</v>
      </c>
      <c r="AB104" s="3">
        <v>0.15</v>
      </c>
      <c r="AC104" s="3">
        <v>0.8</v>
      </c>
      <c r="AD104" s="3">
        <v>0.01</v>
      </c>
      <c r="AE104" s="3">
        <v>548</v>
      </c>
      <c r="AF104" s="3">
        <v>40</v>
      </c>
      <c r="AG104" s="3">
        <v>536</v>
      </c>
      <c r="AH104" s="3">
        <v>13</v>
      </c>
      <c r="AI104" s="3">
        <v>177</v>
      </c>
      <c r="AJ104" s="3">
        <v>15</v>
      </c>
    </row>
    <row r="105" spans="1:36" x14ac:dyDescent="0.25">
      <c r="A105" s="7">
        <v>686</v>
      </c>
      <c r="B105" s="3" t="s">
        <v>4</v>
      </c>
      <c r="C105" s="3" t="s">
        <v>396</v>
      </c>
      <c r="D105" s="3"/>
      <c r="E105" s="3">
        <v>39.200000000000003</v>
      </c>
      <c r="F105" s="3">
        <v>0.35</v>
      </c>
      <c r="G105" s="3">
        <v>0.8</v>
      </c>
      <c r="H105" s="3">
        <v>0.06</v>
      </c>
      <c r="I105" s="3">
        <v>7</v>
      </c>
      <c r="J105" s="3">
        <v>0.09</v>
      </c>
      <c r="K105" s="3">
        <v>0.2</v>
      </c>
      <c r="L105" s="3">
        <v>0.03</v>
      </c>
      <c r="M105" s="3">
        <v>16.3</v>
      </c>
      <c r="N105" s="3">
        <v>0.1</v>
      </c>
      <c r="O105" s="3">
        <v>0.28999999999999998</v>
      </c>
      <c r="P105" s="3">
        <v>0.01</v>
      </c>
      <c r="Q105" s="3">
        <v>7.48</v>
      </c>
      <c r="R105" s="3">
        <v>0.1</v>
      </c>
      <c r="S105" s="3">
        <v>5.23</v>
      </c>
      <c r="T105" s="3">
        <v>0.04</v>
      </c>
      <c r="U105" s="3">
        <v>2</v>
      </c>
      <c r="V105" s="3">
        <v>0.22</v>
      </c>
      <c r="W105" s="3">
        <v>0.55000000000000004</v>
      </c>
      <c r="X105" s="3">
        <v>0.06</v>
      </c>
      <c r="Y105" s="3">
        <v>1.01</v>
      </c>
      <c r="Z105" s="3">
        <v>7.0000000000000007E-2</v>
      </c>
      <c r="AA105" s="3">
        <v>19.059999999999999</v>
      </c>
      <c r="AB105" s="3">
        <v>0.16</v>
      </c>
      <c r="AC105" s="3">
        <v>0.76</v>
      </c>
      <c r="AD105" s="3">
        <v>0.01</v>
      </c>
      <c r="AE105" s="3">
        <v>561</v>
      </c>
      <c r="AF105" s="3">
        <v>40</v>
      </c>
      <c r="AG105" s="3">
        <v>634</v>
      </c>
      <c r="AH105" s="3">
        <v>15</v>
      </c>
      <c r="AI105" s="3">
        <v>157</v>
      </c>
      <c r="AJ105" s="3">
        <v>16</v>
      </c>
    </row>
    <row r="106" spans="1:36" x14ac:dyDescent="0.25">
      <c r="A106" s="7">
        <v>696</v>
      </c>
      <c r="B106" s="3" t="s">
        <v>6</v>
      </c>
      <c r="C106" s="3" t="s">
        <v>397</v>
      </c>
      <c r="D106" s="3"/>
      <c r="E106" s="3">
        <v>34.6</v>
      </c>
      <c r="F106" s="3">
        <v>0.36</v>
      </c>
      <c r="G106" s="3">
        <v>0.71</v>
      </c>
      <c r="H106" s="3">
        <v>7.0000000000000007E-2</v>
      </c>
      <c r="I106" s="3">
        <v>5.4</v>
      </c>
      <c r="J106" s="3">
        <v>0.09</v>
      </c>
      <c r="K106" s="3">
        <v>0.18</v>
      </c>
      <c r="L106" s="3">
        <v>0.03</v>
      </c>
      <c r="M106" s="3">
        <v>15.8</v>
      </c>
      <c r="N106" s="3">
        <v>0.12</v>
      </c>
      <c r="O106" s="3">
        <v>0.32</v>
      </c>
      <c r="P106" s="3">
        <v>0.01</v>
      </c>
      <c r="Q106" s="3">
        <v>7.08</v>
      </c>
      <c r="R106" s="3">
        <v>0.11</v>
      </c>
      <c r="S106" s="3">
        <v>5.74</v>
      </c>
      <c r="T106" s="3">
        <v>0.05</v>
      </c>
      <c r="U106" s="3">
        <v>1.51</v>
      </c>
      <c r="V106" s="3">
        <v>0.22</v>
      </c>
      <c r="W106" s="3">
        <v>0.55000000000000004</v>
      </c>
      <c r="X106" s="3">
        <v>0.06</v>
      </c>
      <c r="Y106" s="3">
        <v>1.01</v>
      </c>
      <c r="Z106" s="3">
        <v>0.09</v>
      </c>
      <c r="AA106" s="3">
        <v>26.52</v>
      </c>
      <c r="AB106" s="3">
        <v>0.27</v>
      </c>
      <c r="AC106" s="3">
        <v>0.46</v>
      </c>
      <c r="AD106" s="3">
        <v>0.02</v>
      </c>
      <c r="AE106" s="3">
        <v>537</v>
      </c>
      <c r="AF106" s="3">
        <v>55</v>
      </c>
      <c r="AG106" s="3">
        <v>554</v>
      </c>
      <c r="AH106" s="3">
        <v>23</v>
      </c>
      <c r="AI106" s="3">
        <v>182</v>
      </c>
      <c r="AJ106" s="3">
        <v>20</v>
      </c>
    </row>
    <row r="107" spans="1:36" x14ac:dyDescent="0.25">
      <c r="A107" s="7">
        <v>726</v>
      </c>
      <c r="B107" s="3" t="s">
        <v>4</v>
      </c>
      <c r="C107" s="3" t="s">
        <v>398</v>
      </c>
      <c r="D107" s="3"/>
      <c r="E107" s="3">
        <v>39.9</v>
      </c>
      <c r="F107" s="3">
        <v>0.38</v>
      </c>
      <c r="G107" s="3">
        <v>0.84</v>
      </c>
      <c r="H107" s="3">
        <v>7.0000000000000007E-2</v>
      </c>
      <c r="I107" s="3">
        <v>7.29</v>
      </c>
      <c r="J107" s="3">
        <v>0.1</v>
      </c>
      <c r="K107" s="3">
        <v>0.22</v>
      </c>
      <c r="L107" s="3">
        <v>0.03</v>
      </c>
      <c r="M107" s="3">
        <v>18.399999999999999</v>
      </c>
      <c r="N107" s="3">
        <v>0.12</v>
      </c>
      <c r="O107" s="3">
        <v>0.31</v>
      </c>
      <c r="P107" s="3">
        <v>0.01</v>
      </c>
      <c r="Q107" s="3">
        <v>6.75</v>
      </c>
      <c r="R107" s="3">
        <v>0.09</v>
      </c>
      <c r="S107" s="3">
        <v>5.71</v>
      </c>
      <c r="T107" s="3">
        <v>0.05</v>
      </c>
      <c r="U107" s="3">
        <v>1.94</v>
      </c>
      <c r="V107" s="3">
        <v>0.19</v>
      </c>
      <c r="W107" s="3">
        <v>0.59</v>
      </c>
      <c r="X107" s="3">
        <v>0.06</v>
      </c>
      <c r="Y107" s="3">
        <v>1.04</v>
      </c>
      <c r="Z107" s="3">
        <v>0.08</v>
      </c>
      <c r="AA107" s="3">
        <v>16.02</v>
      </c>
      <c r="AB107" s="3">
        <v>0.16</v>
      </c>
      <c r="AC107" s="3">
        <v>0.81</v>
      </c>
      <c r="AD107" s="3">
        <v>0.02</v>
      </c>
      <c r="AE107" s="3">
        <v>572</v>
      </c>
      <c r="AF107" s="3">
        <v>52</v>
      </c>
      <c r="AG107" s="3">
        <v>495</v>
      </c>
      <c r="AH107" s="3">
        <v>19</v>
      </c>
      <c r="AI107" s="3">
        <v>73</v>
      </c>
      <c r="AJ107" s="3">
        <v>17</v>
      </c>
    </row>
    <row r="108" spans="1:36" x14ac:dyDescent="0.25">
      <c r="A108" s="7">
        <v>730</v>
      </c>
      <c r="B108" s="3" t="s">
        <v>3</v>
      </c>
      <c r="C108" s="3" t="s">
        <v>399</v>
      </c>
      <c r="D108" s="3"/>
      <c r="E108" s="3">
        <v>45.6</v>
      </c>
      <c r="F108" s="3">
        <v>0.48</v>
      </c>
      <c r="G108" s="3">
        <v>0.94</v>
      </c>
      <c r="H108" s="3">
        <v>7.0000000000000007E-2</v>
      </c>
      <c r="I108" s="3">
        <v>8.89</v>
      </c>
      <c r="J108" s="3">
        <v>0.14000000000000001</v>
      </c>
      <c r="K108" s="3">
        <v>0.46</v>
      </c>
      <c r="L108" s="3">
        <v>0.04</v>
      </c>
      <c r="M108" s="3">
        <v>19.600000000000001</v>
      </c>
      <c r="N108" s="3">
        <v>0.15</v>
      </c>
      <c r="O108" s="3">
        <v>0.43</v>
      </c>
      <c r="P108" s="3">
        <v>0.02</v>
      </c>
      <c r="Q108" s="3">
        <v>7.46</v>
      </c>
      <c r="R108" s="3">
        <v>0.15</v>
      </c>
      <c r="S108" s="3">
        <v>7.5</v>
      </c>
      <c r="T108" s="3">
        <v>7.0000000000000007E-2</v>
      </c>
      <c r="U108" s="3">
        <v>2.17</v>
      </c>
      <c r="V108" s="3">
        <v>0.28999999999999998</v>
      </c>
      <c r="W108" s="3">
        <v>0.47</v>
      </c>
      <c r="X108" s="3">
        <v>0.06</v>
      </c>
      <c r="Y108" s="3">
        <v>0.85</v>
      </c>
      <c r="Z108" s="3">
        <v>0.08</v>
      </c>
      <c r="AA108" s="3">
        <v>4.95</v>
      </c>
      <c r="AB108" s="3">
        <v>0.09</v>
      </c>
      <c r="AC108" s="3">
        <v>0.62</v>
      </c>
      <c r="AD108" s="3">
        <v>0.02</v>
      </c>
      <c r="AE108" s="3">
        <v>408</v>
      </c>
      <c r="AF108" s="3">
        <v>54</v>
      </c>
      <c r="AG108" s="3">
        <v>267</v>
      </c>
      <c r="AH108" s="3">
        <v>20</v>
      </c>
      <c r="AI108" s="3">
        <v>31</v>
      </c>
      <c r="AJ108" s="3">
        <v>18</v>
      </c>
    </row>
    <row r="109" spans="1:36" x14ac:dyDescent="0.25">
      <c r="A109" s="7">
        <v>805</v>
      </c>
      <c r="B109" s="3" t="s">
        <v>5</v>
      </c>
      <c r="C109" s="3" t="s">
        <v>400</v>
      </c>
      <c r="D109" s="3"/>
      <c r="E109" s="3">
        <v>34.700000000000003</v>
      </c>
      <c r="F109" s="3">
        <v>0.38</v>
      </c>
      <c r="G109" s="3">
        <v>0.72</v>
      </c>
      <c r="H109" s="3">
        <v>7.0000000000000007E-2</v>
      </c>
      <c r="I109" s="3">
        <v>5.96</v>
      </c>
      <c r="J109" s="3">
        <v>0.1</v>
      </c>
      <c r="K109" s="3">
        <v>0.17</v>
      </c>
      <c r="L109" s="3">
        <v>0.03</v>
      </c>
      <c r="M109" s="3">
        <v>15.7</v>
      </c>
      <c r="N109" s="3">
        <v>0.13</v>
      </c>
      <c r="O109" s="3">
        <v>0.28999999999999998</v>
      </c>
      <c r="P109" s="3">
        <v>0.01</v>
      </c>
      <c r="Q109" s="3">
        <v>8.44</v>
      </c>
      <c r="R109" s="3">
        <v>0.13</v>
      </c>
      <c r="S109" s="3">
        <v>5.01</v>
      </c>
      <c r="T109" s="3">
        <v>0.06</v>
      </c>
      <c r="U109" s="3">
        <v>1.56</v>
      </c>
      <c r="V109" s="3">
        <v>0.22</v>
      </c>
      <c r="W109" s="3">
        <v>0.49</v>
      </c>
      <c r="X109" s="3">
        <v>0.06</v>
      </c>
      <c r="Y109" s="3">
        <v>1</v>
      </c>
      <c r="Z109" s="3">
        <v>0.09</v>
      </c>
      <c r="AA109" s="3">
        <v>25.19</v>
      </c>
      <c r="AB109" s="3">
        <v>0.28000000000000003</v>
      </c>
      <c r="AC109" s="3">
        <v>0.67</v>
      </c>
      <c r="AD109" s="3">
        <v>0.02</v>
      </c>
      <c r="AE109" s="3">
        <v>553</v>
      </c>
      <c r="AF109" s="3">
        <v>57</v>
      </c>
      <c r="AG109" s="3">
        <v>375</v>
      </c>
      <c r="AH109" s="3">
        <v>22</v>
      </c>
      <c r="AI109" s="3">
        <v>164</v>
      </c>
      <c r="AJ109" s="3">
        <v>20</v>
      </c>
    </row>
    <row r="110" spans="1:36" x14ac:dyDescent="0.25">
      <c r="A110" s="7">
        <v>818</v>
      </c>
      <c r="B110" s="3" t="s">
        <v>5</v>
      </c>
      <c r="C110" s="3" t="s">
        <v>401</v>
      </c>
      <c r="D110" s="3"/>
      <c r="E110" s="3">
        <v>35.6</v>
      </c>
      <c r="F110" s="3">
        <v>0.39</v>
      </c>
      <c r="G110" s="3">
        <v>0.75</v>
      </c>
      <c r="H110" s="3">
        <v>7.0000000000000007E-2</v>
      </c>
      <c r="I110" s="3">
        <v>6.18</v>
      </c>
      <c r="J110" s="3">
        <v>0.11</v>
      </c>
      <c r="K110" s="3">
        <v>0.18</v>
      </c>
      <c r="L110" s="3">
        <v>0.03</v>
      </c>
      <c r="M110" s="3">
        <v>15.6</v>
      </c>
      <c r="N110" s="3">
        <v>0.13</v>
      </c>
      <c r="O110" s="3">
        <v>0.3</v>
      </c>
      <c r="P110" s="3">
        <v>0.01</v>
      </c>
      <c r="Q110" s="3">
        <v>7.99</v>
      </c>
      <c r="R110" s="3">
        <v>0.13</v>
      </c>
      <c r="S110" s="3">
        <v>5.26</v>
      </c>
      <c r="T110" s="3">
        <v>0.06</v>
      </c>
      <c r="U110" s="3">
        <v>1.67</v>
      </c>
      <c r="V110" s="3">
        <v>0.25</v>
      </c>
      <c r="W110" s="3">
        <v>0.5</v>
      </c>
      <c r="X110" s="3">
        <v>0.06</v>
      </c>
      <c r="Y110" s="3">
        <v>0.98</v>
      </c>
      <c r="Z110" s="3">
        <v>0.09</v>
      </c>
      <c r="AA110" s="3">
        <v>24.18</v>
      </c>
      <c r="AB110" s="3">
        <v>0.27</v>
      </c>
      <c r="AC110" s="3">
        <v>0.69</v>
      </c>
      <c r="AD110" s="3">
        <v>0.02</v>
      </c>
      <c r="AE110" s="3">
        <v>524</v>
      </c>
      <c r="AF110" s="3">
        <v>56</v>
      </c>
      <c r="AG110" s="3">
        <v>550</v>
      </c>
      <c r="AH110" s="3">
        <v>24</v>
      </c>
      <c r="AI110" s="3">
        <v>123</v>
      </c>
      <c r="AJ110" s="3">
        <v>19</v>
      </c>
    </row>
    <row r="111" spans="1:36" x14ac:dyDescent="0.25">
      <c r="A111" s="7">
        <v>825</v>
      </c>
      <c r="B111" s="3" t="s">
        <v>3</v>
      </c>
      <c r="C111" s="3" t="s">
        <v>402</v>
      </c>
      <c r="D111" s="3"/>
      <c r="E111" s="3">
        <v>41.1</v>
      </c>
      <c r="F111" s="3">
        <v>0.42</v>
      </c>
      <c r="G111" s="3">
        <v>0.77</v>
      </c>
      <c r="H111" s="3">
        <v>7.0000000000000007E-2</v>
      </c>
      <c r="I111" s="3">
        <v>8.25</v>
      </c>
      <c r="J111" s="3">
        <v>0.11</v>
      </c>
      <c r="K111" s="3">
        <v>0.3</v>
      </c>
      <c r="L111" s="3">
        <v>0.04</v>
      </c>
      <c r="M111" s="3">
        <v>27.1</v>
      </c>
      <c r="N111" s="3">
        <v>0.18</v>
      </c>
      <c r="O111" s="3">
        <v>0.3</v>
      </c>
      <c r="P111" s="3">
        <v>0.01</v>
      </c>
      <c r="Q111" s="3">
        <v>6.48</v>
      </c>
      <c r="R111" s="3">
        <v>0.12</v>
      </c>
      <c r="S111" s="3">
        <v>5.98</v>
      </c>
      <c r="T111" s="3">
        <v>0.06</v>
      </c>
      <c r="U111" s="3">
        <v>2.23</v>
      </c>
      <c r="V111" s="3">
        <v>0.25</v>
      </c>
      <c r="W111" s="3">
        <v>0.41</v>
      </c>
      <c r="X111" s="3">
        <v>0.06</v>
      </c>
      <c r="Y111" s="3">
        <v>0.79</v>
      </c>
      <c r="Z111" s="3">
        <v>0.08</v>
      </c>
      <c r="AA111" s="3">
        <v>5.43</v>
      </c>
      <c r="AB111" s="3">
        <v>0.08</v>
      </c>
      <c r="AC111" s="3">
        <v>0.65</v>
      </c>
      <c r="AD111" s="3">
        <v>0.02</v>
      </c>
      <c r="AE111" s="3">
        <v>661</v>
      </c>
      <c r="AF111" s="3">
        <v>59</v>
      </c>
      <c r="AG111" s="3">
        <v>310</v>
      </c>
      <c r="AH111" s="3">
        <v>20</v>
      </c>
      <c r="AI111" s="3">
        <v>48</v>
      </c>
      <c r="AJ111" s="3">
        <v>18</v>
      </c>
    </row>
    <row r="112" spans="1:36" x14ac:dyDescent="0.25">
      <c r="A112" s="7">
        <v>879</v>
      </c>
      <c r="B112" s="3" t="s">
        <v>8</v>
      </c>
      <c r="C112" s="3" t="s">
        <v>403</v>
      </c>
      <c r="D112" s="3"/>
      <c r="E112" s="3">
        <v>45.1</v>
      </c>
      <c r="F112" s="3">
        <v>0.47</v>
      </c>
      <c r="G112" s="3">
        <v>1.1399999999999999</v>
      </c>
      <c r="H112" s="3">
        <v>0.08</v>
      </c>
      <c r="I112" s="3">
        <v>8.84</v>
      </c>
      <c r="J112" s="3">
        <v>0.14000000000000001</v>
      </c>
      <c r="K112" s="3">
        <v>0.41</v>
      </c>
      <c r="L112" s="3">
        <v>0.04</v>
      </c>
      <c r="M112" s="3">
        <v>18.899999999999999</v>
      </c>
      <c r="N112" s="3">
        <v>0.14000000000000001</v>
      </c>
      <c r="O112" s="3">
        <v>0.36</v>
      </c>
      <c r="P112" s="3">
        <v>0.02</v>
      </c>
      <c r="Q112" s="3">
        <v>7.18</v>
      </c>
      <c r="R112" s="3">
        <v>0.14000000000000001</v>
      </c>
      <c r="S112" s="3">
        <v>6.87</v>
      </c>
      <c r="T112" s="3">
        <v>7.0000000000000007E-2</v>
      </c>
      <c r="U112" s="3">
        <v>2.2999999999999998</v>
      </c>
      <c r="V112" s="3">
        <v>0.27</v>
      </c>
      <c r="W112" s="3">
        <v>0.47</v>
      </c>
      <c r="X112" s="3">
        <v>0.06</v>
      </c>
      <c r="Y112" s="3">
        <v>0.91</v>
      </c>
      <c r="Z112" s="3">
        <v>0.08</v>
      </c>
      <c r="AA112" s="3">
        <v>6.72</v>
      </c>
      <c r="AB112" s="3">
        <v>0.1</v>
      </c>
      <c r="AC112" s="3">
        <v>0.65</v>
      </c>
      <c r="AD112" s="3">
        <v>0.02</v>
      </c>
      <c r="AE112" s="3">
        <v>475</v>
      </c>
      <c r="AF112" s="3">
        <v>56</v>
      </c>
      <c r="AG112" s="3">
        <v>411</v>
      </c>
      <c r="AH112" s="3">
        <v>23</v>
      </c>
      <c r="AI112" s="3">
        <v>434</v>
      </c>
      <c r="AJ112" s="3">
        <v>24</v>
      </c>
    </row>
    <row r="113" spans="1:36" x14ac:dyDescent="0.25">
      <c r="A113" s="7">
        <v>886</v>
      </c>
      <c r="B113" s="3" t="s">
        <v>96</v>
      </c>
      <c r="C113" s="3" t="s">
        <v>404</v>
      </c>
      <c r="D113" s="3"/>
      <c r="E113" s="3">
        <v>44.6</v>
      </c>
      <c r="F113" s="3">
        <v>0.37</v>
      </c>
      <c r="G113" s="3">
        <v>1.04</v>
      </c>
      <c r="H113" s="3">
        <v>0.08</v>
      </c>
      <c r="I113" s="3">
        <v>9.86</v>
      </c>
      <c r="J113" s="3">
        <v>0.13</v>
      </c>
      <c r="K113" s="3">
        <v>0.28999999999999998</v>
      </c>
      <c r="L113" s="3">
        <v>0.04</v>
      </c>
      <c r="M113" s="3">
        <v>20.100000000000001</v>
      </c>
      <c r="N113" s="3">
        <v>0.12</v>
      </c>
      <c r="O113" s="3">
        <v>0.31</v>
      </c>
      <c r="P113" s="3">
        <v>0.02</v>
      </c>
      <c r="Q113" s="3">
        <v>7.53</v>
      </c>
      <c r="R113" s="3">
        <v>0.12</v>
      </c>
      <c r="S113" s="3">
        <v>6.69</v>
      </c>
      <c r="T113" s="3">
        <v>7.0000000000000007E-2</v>
      </c>
      <c r="U113" s="3">
        <v>2.37</v>
      </c>
      <c r="V113" s="3">
        <v>0.23</v>
      </c>
      <c r="W113" s="3">
        <v>0.48</v>
      </c>
      <c r="X113" s="3">
        <v>7.0000000000000007E-2</v>
      </c>
      <c r="Y113" s="3">
        <v>1.02</v>
      </c>
      <c r="Z113" s="3">
        <v>0.09</v>
      </c>
      <c r="AA113" s="3">
        <v>4.8899999999999997</v>
      </c>
      <c r="AB113" s="3">
        <v>0.1</v>
      </c>
      <c r="AC113" s="3">
        <v>0.67</v>
      </c>
      <c r="AD113" s="3">
        <v>0.02</v>
      </c>
      <c r="AE113" s="3">
        <v>807</v>
      </c>
      <c r="AF113" s="3">
        <v>81</v>
      </c>
      <c r="AG113" s="3">
        <v>263</v>
      </c>
      <c r="AH113" s="3">
        <v>29</v>
      </c>
      <c r="AI113" s="3">
        <v>37</v>
      </c>
      <c r="AJ113" s="3">
        <v>20</v>
      </c>
    </row>
    <row r="114" spans="1:36" x14ac:dyDescent="0.25">
      <c r="A114" s="7">
        <v>890</v>
      </c>
      <c r="B114" s="3" t="s">
        <v>96</v>
      </c>
      <c r="C114" s="3" t="s">
        <v>405</v>
      </c>
      <c r="D114" s="3"/>
      <c r="E114" s="3">
        <v>43.7</v>
      </c>
      <c r="F114" s="3">
        <v>0.47</v>
      </c>
      <c r="G114" s="3">
        <v>0.95</v>
      </c>
      <c r="H114" s="3">
        <v>0.08</v>
      </c>
      <c r="I114" s="3">
        <v>9.14</v>
      </c>
      <c r="J114" s="3">
        <v>0.13</v>
      </c>
      <c r="K114" s="3">
        <v>0.23</v>
      </c>
      <c r="L114" s="3">
        <v>0.04</v>
      </c>
      <c r="M114" s="3">
        <v>21.2</v>
      </c>
      <c r="N114" s="3">
        <v>0.17</v>
      </c>
      <c r="O114" s="3">
        <v>0.31</v>
      </c>
      <c r="P114" s="3">
        <v>0.02</v>
      </c>
      <c r="Q114" s="3">
        <v>7.19</v>
      </c>
      <c r="R114" s="3">
        <v>0.12</v>
      </c>
      <c r="S114" s="3">
        <v>6.73</v>
      </c>
      <c r="T114" s="3">
        <v>7.0000000000000007E-2</v>
      </c>
      <c r="U114" s="3">
        <v>2.14</v>
      </c>
      <c r="V114" s="3">
        <v>0.23</v>
      </c>
      <c r="W114" s="3">
        <v>0.47</v>
      </c>
      <c r="X114" s="3">
        <v>0.06</v>
      </c>
      <c r="Y114" s="3">
        <v>1.02</v>
      </c>
      <c r="Z114" s="3">
        <v>0.09</v>
      </c>
      <c r="AA114" s="3">
        <v>5.99</v>
      </c>
      <c r="AB114" s="3">
        <v>0.11</v>
      </c>
      <c r="AC114" s="3">
        <v>0.82</v>
      </c>
      <c r="AD114" s="3">
        <v>0.02</v>
      </c>
      <c r="AE114" s="3">
        <v>566</v>
      </c>
      <c r="AF114" s="3">
        <v>69</v>
      </c>
      <c r="AG114" s="3">
        <v>282</v>
      </c>
      <c r="AH114" s="3">
        <v>25</v>
      </c>
      <c r="AI114" s="3">
        <v>64</v>
      </c>
      <c r="AJ114" s="3">
        <v>21</v>
      </c>
    </row>
    <row r="115" spans="1:36" x14ac:dyDescent="0.25">
      <c r="A115" s="7">
        <v>893</v>
      </c>
      <c r="B115" s="3" t="s">
        <v>6</v>
      </c>
      <c r="C115" s="3" t="s">
        <v>406</v>
      </c>
      <c r="D115" s="3"/>
      <c r="E115" s="3">
        <v>35</v>
      </c>
      <c r="F115" s="3">
        <v>0.34</v>
      </c>
      <c r="G115" s="3">
        <v>0.66</v>
      </c>
      <c r="H115" s="3">
        <v>7.0000000000000007E-2</v>
      </c>
      <c r="I115" s="3">
        <v>5.54</v>
      </c>
      <c r="J115" s="3">
        <v>0.09</v>
      </c>
      <c r="K115" s="3">
        <v>0.17</v>
      </c>
      <c r="L115" s="3">
        <v>0.03</v>
      </c>
      <c r="M115" s="3">
        <v>15.9</v>
      </c>
      <c r="N115" s="3">
        <v>0.11</v>
      </c>
      <c r="O115" s="3">
        <v>0.34</v>
      </c>
      <c r="P115" s="3">
        <v>0.01</v>
      </c>
      <c r="Q115" s="3">
        <v>7.36</v>
      </c>
      <c r="R115" s="3">
        <v>0.11</v>
      </c>
      <c r="S115" s="3">
        <v>5.12</v>
      </c>
      <c r="T115" s="3">
        <v>0.05</v>
      </c>
      <c r="U115" s="3">
        <v>1.67</v>
      </c>
      <c r="V115" s="3">
        <v>0.24</v>
      </c>
      <c r="W115" s="3">
        <v>0.54</v>
      </c>
      <c r="X115" s="3">
        <v>0.06</v>
      </c>
      <c r="Y115" s="3">
        <v>1.02</v>
      </c>
      <c r="Z115" s="3">
        <v>0.08</v>
      </c>
      <c r="AA115" s="3">
        <v>25.79</v>
      </c>
      <c r="AB115" s="3">
        <v>0.25</v>
      </c>
      <c r="AC115" s="3">
        <v>0.73</v>
      </c>
      <c r="AD115" s="3">
        <v>0.02</v>
      </c>
      <c r="AE115" s="3">
        <v>568</v>
      </c>
      <c r="AF115" s="3">
        <v>48</v>
      </c>
      <c r="AG115" s="3">
        <v>488</v>
      </c>
      <c r="AH115" s="3">
        <v>18</v>
      </c>
      <c r="AI115" s="3">
        <v>303</v>
      </c>
      <c r="AJ115" s="3">
        <v>20</v>
      </c>
    </row>
    <row r="116" spans="1:36" x14ac:dyDescent="0.25">
      <c r="A116" s="7">
        <v>910</v>
      </c>
      <c r="B116" s="3" t="s">
        <v>3</v>
      </c>
      <c r="C116" s="3" t="s">
        <v>407</v>
      </c>
      <c r="D116" s="3"/>
      <c r="E116" s="3">
        <v>37.9</v>
      </c>
      <c r="F116" s="3">
        <v>0.41</v>
      </c>
      <c r="G116" s="3">
        <v>0.7</v>
      </c>
      <c r="H116" s="3">
        <v>7.0000000000000007E-2</v>
      </c>
      <c r="I116" s="3">
        <v>7.39</v>
      </c>
      <c r="J116" s="3">
        <v>0.12</v>
      </c>
      <c r="K116" s="3">
        <v>0.3</v>
      </c>
      <c r="L116" s="3">
        <v>0.04</v>
      </c>
      <c r="M116" s="3">
        <v>32.5</v>
      </c>
      <c r="N116" s="3">
        <v>0.22</v>
      </c>
      <c r="O116" s="3">
        <v>0.27</v>
      </c>
      <c r="P116" s="3">
        <v>0.01</v>
      </c>
      <c r="Q116" s="3">
        <v>6.32</v>
      </c>
      <c r="R116" s="3">
        <v>0.13</v>
      </c>
      <c r="S116" s="3">
        <v>5.04</v>
      </c>
      <c r="T116" s="3">
        <v>0.05</v>
      </c>
      <c r="U116" s="3">
        <v>2.16</v>
      </c>
      <c r="V116" s="3">
        <v>0.27</v>
      </c>
      <c r="W116" s="3">
        <v>0.36</v>
      </c>
      <c r="X116" s="3">
        <v>0.06</v>
      </c>
      <c r="Y116" s="3">
        <v>0.82</v>
      </c>
      <c r="Z116" s="3">
        <v>0.08</v>
      </c>
      <c r="AA116" s="3">
        <v>5.28</v>
      </c>
      <c r="AB116" s="3">
        <v>0.09</v>
      </c>
      <c r="AC116" s="3">
        <v>0.73</v>
      </c>
      <c r="AD116" s="3">
        <v>0.02</v>
      </c>
      <c r="AE116" s="3">
        <v>1082</v>
      </c>
      <c r="AF116" s="3">
        <v>71</v>
      </c>
      <c r="AG116" s="3">
        <v>377</v>
      </c>
      <c r="AH116" s="3">
        <v>24</v>
      </c>
      <c r="AI116" s="3">
        <v>84</v>
      </c>
      <c r="AJ116" s="3">
        <v>19</v>
      </c>
    </row>
    <row r="117" spans="1:36" x14ac:dyDescent="0.25">
      <c r="A117" s="7">
        <v>911</v>
      </c>
      <c r="B117" s="3" t="s">
        <v>3</v>
      </c>
      <c r="C117" s="3" t="s">
        <v>408</v>
      </c>
      <c r="D117" s="3"/>
      <c r="E117" s="3">
        <v>37.4</v>
      </c>
      <c r="F117" s="3">
        <v>0.39</v>
      </c>
      <c r="G117" s="3">
        <v>0.69</v>
      </c>
      <c r="H117" s="3">
        <v>7.0000000000000007E-2</v>
      </c>
      <c r="I117" s="3">
        <v>7.27</v>
      </c>
      <c r="J117" s="3">
        <v>0.11</v>
      </c>
      <c r="K117" s="3">
        <v>0.3</v>
      </c>
      <c r="L117" s="3">
        <v>0.04</v>
      </c>
      <c r="M117" s="3">
        <v>33.6</v>
      </c>
      <c r="N117" s="3">
        <v>0.22</v>
      </c>
      <c r="O117" s="3">
        <v>0.26</v>
      </c>
      <c r="P117" s="3">
        <v>0.01</v>
      </c>
      <c r="Q117" s="3">
        <v>6.29</v>
      </c>
      <c r="R117" s="3">
        <v>0.12</v>
      </c>
      <c r="S117" s="3">
        <v>4.9000000000000004</v>
      </c>
      <c r="T117" s="3">
        <v>0.05</v>
      </c>
      <c r="U117" s="3">
        <v>2.09</v>
      </c>
      <c r="V117" s="3">
        <v>0.27</v>
      </c>
      <c r="W117" s="3">
        <v>0.36</v>
      </c>
      <c r="X117" s="3">
        <v>0.06</v>
      </c>
      <c r="Y117" s="3">
        <v>0.83</v>
      </c>
      <c r="Z117" s="3">
        <v>0.08</v>
      </c>
      <c r="AA117" s="3">
        <v>5.1100000000000003</v>
      </c>
      <c r="AB117" s="3">
        <v>0.08</v>
      </c>
      <c r="AC117" s="3">
        <v>0.73</v>
      </c>
      <c r="AD117" s="3">
        <v>0.02</v>
      </c>
      <c r="AE117" s="3">
        <v>1120</v>
      </c>
      <c r="AF117" s="3">
        <v>69</v>
      </c>
      <c r="AG117" s="3">
        <v>331</v>
      </c>
      <c r="AH117" s="3">
        <v>21</v>
      </c>
      <c r="AI117" s="3">
        <v>126</v>
      </c>
      <c r="AJ117" s="3">
        <v>19</v>
      </c>
    </row>
    <row r="118" spans="1:36" x14ac:dyDescent="0.25">
      <c r="A118" s="7">
        <v>924</v>
      </c>
      <c r="B118" s="3" t="s">
        <v>8</v>
      </c>
      <c r="C118" s="3" t="s">
        <v>409</v>
      </c>
      <c r="D118" s="3"/>
      <c r="E118" s="3">
        <v>38.700000000000003</v>
      </c>
      <c r="F118" s="3">
        <v>0.41</v>
      </c>
      <c r="G118" s="3">
        <v>0.97</v>
      </c>
      <c r="H118" s="3">
        <v>7.0000000000000007E-2</v>
      </c>
      <c r="I118" s="3">
        <v>7.23</v>
      </c>
      <c r="J118" s="3">
        <v>0.12</v>
      </c>
      <c r="K118" s="3">
        <v>0.35</v>
      </c>
      <c r="L118" s="3">
        <v>0.04</v>
      </c>
      <c r="M118" s="3">
        <v>17.3</v>
      </c>
      <c r="N118" s="3">
        <v>0.13</v>
      </c>
      <c r="O118" s="3">
        <v>0.37</v>
      </c>
      <c r="P118" s="3">
        <v>0.01</v>
      </c>
      <c r="Q118" s="3">
        <v>9.36</v>
      </c>
      <c r="R118" s="3">
        <v>0.14000000000000001</v>
      </c>
      <c r="S118" s="3">
        <v>5.01</v>
      </c>
      <c r="T118" s="3">
        <v>0.05</v>
      </c>
      <c r="U118" s="3">
        <v>1.84</v>
      </c>
      <c r="V118" s="3">
        <v>0.28000000000000003</v>
      </c>
      <c r="W118" s="3">
        <v>0.48</v>
      </c>
      <c r="X118" s="3">
        <v>0.06</v>
      </c>
      <c r="Y118" s="3">
        <v>0.97</v>
      </c>
      <c r="Z118" s="3">
        <v>0.08</v>
      </c>
      <c r="AA118" s="3">
        <v>16.46</v>
      </c>
      <c r="AB118" s="3">
        <v>0.19</v>
      </c>
      <c r="AC118" s="3">
        <v>0.87</v>
      </c>
      <c r="AD118" s="3">
        <v>0.02</v>
      </c>
      <c r="AE118" s="3">
        <v>437</v>
      </c>
      <c r="AF118" s="3">
        <v>52</v>
      </c>
      <c r="AG118" s="3">
        <v>402</v>
      </c>
      <c r="AH118" s="3">
        <v>20</v>
      </c>
      <c r="AI118" s="3">
        <v>176</v>
      </c>
      <c r="AJ118" s="3">
        <v>20</v>
      </c>
    </row>
    <row r="119" spans="1:36" x14ac:dyDescent="0.25">
      <c r="A119" s="7">
        <v>928</v>
      </c>
      <c r="B119" s="3" t="s">
        <v>8</v>
      </c>
      <c r="C119" s="3" t="s">
        <v>410</v>
      </c>
      <c r="D119" s="3"/>
      <c r="E119" s="3">
        <v>43</v>
      </c>
      <c r="F119" s="3">
        <v>0.36</v>
      </c>
      <c r="G119" s="3">
        <v>1.1200000000000001</v>
      </c>
      <c r="H119" s="3">
        <v>0.08</v>
      </c>
      <c r="I119" s="3">
        <v>8.49</v>
      </c>
      <c r="J119" s="3">
        <v>0.12</v>
      </c>
      <c r="K119" s="3">
        <v>0.47</v>
      </c>
      <c r="L119" s="3">
        <v>0.04</v>
      </c>
      <c r="M119" s="3">
        <v>22.6</v>
      </c>
      <c r="N119" s="3">
        <v>0.12</v>
      </c>
      <c r="O119" s="3">
        <v>0.39</v>
      </c>
      <c r="P119" s="3">
        <v>0.02</v>
      </c>
      <c r="Q119" s="3">
        <v>7.25</v>
      </c>
      <c r="R119" s="3">
        <v>0.11</v>
      </c>
      <c r="S119" s="3">
        <v>6.57</v>
      </c>
      <c r="T119" s="3">
        <v>7.0000000000000007E-2</v>
      </c>
      <c r="U119" s="3">
        <v>2.33</v>
      </c>
      <c r="V119" s="3">
        <v>0.22</v>
      </c>
      <c r="W119" s="3">
        <v>0.41</v>
      </c>
      <c r="X119" s="3">
        <v>0.06</v>
      </c>
      <c r="Y119" s="3">
        <v>0.85</v>
      </c>
      <c r="Z119" s="3">
        <v>0.08</v>
      </c>
      <c r="AA119" s="3">
        <v>5.79</v>
      </c>
      <c r="AB119" s="3">
        <v>0.1</v>
      </c>
      <c r="AC119" s="3">
        <v>0.6</v>
      </c>
      <c r="AD119" s="3">
        <v>0.02</v>
      </c>
      <c r="AE119" s="3">
        <v>477</v>
      </c>
      <c r="AF119" s="3">
        <v>64</v>
      </c>
      <c r="AG119" s="3">
        <v>344</v>
      </c>
      <c r="AH119" s="3">
        <v>25</v>
      </c>
      <c r="AI119" s="3">
        <v>171</v>
      </c>
      <c r="AJ119" s="3">
        <v>21</v>
      </c>
    </row>
    <row r="120" spans="1:36" x14ac:dyDescent="0.25">
      <c r="A120" s="7">
        <v>941</v>
      </c>
      <c r="B120" s="3" t="s">
        <v>4</v>
      </c>
      <c r="C120" s="3" t="s">
        <v>411</v>
      </c>
      <c r="D120" s="3"/>
      <c r="E120" s="3">
        <v>42.1</v>
      </c>
      <c r="F120" s="3">
        <v>0.44</v>
      </c>
      <c r="G120" s="3">
        <v>0.92</v>
      </c>
      <c r="H120" s="3">
        <v>0.08</v>
      </c>
      <c r="I120" s="3">
        <v>7.77</v>
      </c>
      <c r="J120" s="3">
        <v>0.12</v>
      </c>
      <c r="K120" s="3">
        <v>0.23</v>
      </c>
      <c r="L120" s="3">
        <v>0.03</v>
      </c>
      <c r="M120" s="3">
        <v>15.4</v>
      </c>
      <c r="N120" s="3">
        <v>0.12</v>
      </c>
      <c r="O120" s="3">
        <v>0.28999999999999998</v>
      </c>
      <c r="P120" s="3">
        <v>0.01</v>
      </c>
      <c r="Q120" s="3">
        <v>7.13</v>
      </c>
      <c r="R120" s="3">
        <v>0.13</v>
      </c>
      <c r="S120" s="3">
        <v>6.09</v>
      </c>
      <c r="T120" s="3">
        <v>0.06</v>
      </c>
      <c r="U120" s="3">
        <v>2.16</v>
      </c>
      <c r="V120" s="3">
        <v>0.27</v>
      </c>
      <c r="W120" s="3">
        <v>0.63</v>
      </c>
      <c r="X120" s="3">
        <v>0.06</v>
      </c>
      <c r="Y120" s="3">
        <v>1.0900000000000001</v>
      </c>
      <c r="Z120" s="3">
        <v>0.09</v>
      </c>
      <c r="AA120" s="3">
        <v>14.96</v>
      </c>
      <c r="AB120" s="3">
        <v>0.18</v>
      </c>
      <c r="AC120" s="3">
        <v>1.03</v>
      </c>
      <c r="AD120" s="3">
        <v>0.02</v>
      </c>
      <c r="AE120" s="3">
        <v>478</v>
      </c>
      <c r="AF120" s="3">
        <v>53</v>
      </c>
      <c r="AG120" s="3">
        <v>385</v>
      </c>
      <c r="AH120" s="3">
        <v>20</v>
      </c>
      <c r="AI120" s="3">
        <v>297</v>
      </c>
      <c r="AJ120" s="3">
        <v>21</v>
      </c>
    </row>
    <row r="121" spans="1:36" x14ac:dyDescent="0.25">
      <c r="A121" s="7">
        <v>961</v>
      </c>
      <c r="B121" s="3" t="s">
        <v>5</v>
      </c>
      <c r="C121" s="3" t="s">
        <v>412</v>
      </c>
      <c r="D121" s="3"/>
      <c r="E121" s="3">
        <v>41.2</v>
      </c>
      <c r="F121" s="3">
        <v>0.39</v>
      </c>
      <c r="G121" s="3">
        <v>0.88</v>
      </c>
      <c r="H121" s="3">
        <v>7.0000000000000007E-2</v>
      </c>
      <c r="I121" s="3">
        <v>6.87</v>
      </c>
      <c r="J121" s="3">
        <v>0.09</v>
      </c>
      <c r="K121" s="3">
        <v>0.23</v>
      </c>
      <c r="L121" s="3">
        <v>0.03</v>
      </c>
      <c r="M121" s="3">
        <v>16.899999999999999</v>
      </c>
      <c r="N121" s="3">
        <v>0.12</v>
      </c>
      <c r="O121" s="3">
        <v>0.36</v>
      </c>
      <c r="P121" s="3">
        <v>0.01</v>
      </c>
      <c r="Q121" s="3">
        <v>5.48</v>
      </c>
      <c r="R121" s="3">
        <v>0.08</v>
      </c>
      <c r="S121" s="3">
        <v>5.24</v>
      </c>
      <c r="T121" s="3">
        <v>0.05</v>
      </c>
      <c r="U121" s="3">
        <v>1.92</v>
      </c>
      <c r="V121" s="3">
        <v>0.19</v>
      </c>
      <c r="W121" s="3">
        <v>0.66</v>
      </c>
      <c r="X121" s="3">
        <v>0.06</v>
      </c>
      <c r="Y121" s="3">
        <v>1.1499999999999999</v>
      </c>
      <c r="Z121" s="3">
        <v>0.08</v>
      </c>
      <c r="AA121" s="3">
        <v>18.13</v>
      </c>
      <c r="AB121" s="3">
        <v>0.19</v>
      </c>
      <c r="AC121" s="3">
        <v>0.92</v>
      </c>
      <c r="AD121" s="3">
        <v>0.02</v>
      </c>
      <c r="AE121" s="3">
        <v>506</v>
      </c>
      <c r="AF121" s="3">
        <v>49</v>
      </c>
      <c r="AG121" s="3">
        <v>455</v>
      </c>
      <c r="AH121" s="3">
        <v>19</v>
      </c>
      <c r="AI121" s="3">
        <v>463</v>
      </c>
      <c r="AJ121" s="3">
        <v>22</v>
      </c>
    </row>
    <row r="122" spans="1:36" x14ac:dyDescent="0.25">
      <c r="A122" s="7">
        <v>962</v>
      </c>
      <c r="B122" s="3" t="s">
        <v>6</v>
      </c>
      <c r="C122" s="3" t="s">
        <v>413</v>
      </c>
      <c r="D122" s="3"/>
      <c r="E122" s="3">
        <v>41.1</v>
      </c>
      <c r="F122" s="3">
        <v>0.28999999999999998</v>
      </c>
      <c r="G122" s="3">
        <v>0.86</v>
      </c>
      <c r="H122" s="3">
        <v>7.0000000000000007E-2</v>
      </c>
      <c r="I122" s="3">
        <v>6.66</v>
      </c>
      <c r="J122" s="3">
        <v>0.09</v>
      </c>
      <c r="K122" s="3">
        <v>0.22</v>
      </c>
      <c r="L122" s="3">
        <v>0.03</v>
      </c>
      <c r="M122" s="3">
        <v>16.7</v>
      </c>
      <c r="N122" s="3">
        <v>0.08</v>
      </c>
      <c r="O122" s="3">
        <v>0.37</v>
      </c>
      <c r="P122" s="3">
        <v>0.01</v>
      </c>
      <c r="Q122" s="3">
        <v>5.14</v>
      </c>
      <c r="R122" s="3">
        <v>7.0000000000000007E-2</v>
      </c>
      <c r="S122" s="3">
        <v>5.24</v>
      </c>
      <c r="T122" s="3">
        <v>0.04</v>
      </c>
      <c r="U122" s="3">
        <v>1.94</v>
      </c>
      <c r="V122" s="3">
        <v>0.17</v>
      </c>
      <c r="W122" s="3">
        <v>0.7</v>
      </c>
      <c r="X122" s="3">
        <v>0.06</v>
      </c>
      <c r="Y122" s="3">
        <v>1.17</v>
      </c>
      <c r="Z122" s="3">
        <v>0.08</v>
      </c>
      <c r="AA122" s="3">
        <v>18.89</v>
      </c>
      <c r="AB122" s="3">
        <v>0.17</v>
      </c>
      <c r="AC122" s="3">
        <v>0.9</v>
      </c>
      <c r="AD122" s="3">
        <v>0.02</v>
      </c>
      <c r="AE122" s="3">
        <v>476</v>
      </c>
      <c r="AF122" s="3">
        <v>48</v>
      </c>
      <c r="AG122" s="3">
        <v>476</v>
      </c>
      <c r="AH122" s="3">
        <v>19</v>
      </c>
      <c r="AI122" s="3">
        <v>471</v>
      </c>
      <c r="AJ122" s="3">
        <v>21</v>
      </c>
    </row>
    <row r="123" spans="1:36" x14ac:dyDescent="0.25">
      <c r="A123" s="7">
        <v>1036</v>
      </c>
      <c r="B123" s="3" t="s">
        <v>5</v>
      </c>
      <c r="C123" s="3" t="s">
        <v>414</v>
      </c>
      <c r="D123" s="3"/>
      <c r="E123" s="3">
        <v>38.9</v>
      </c>
      <c r="F123" s="3">
        <v>0.32</v>
      </c>
      <c r="G123" s="3">
        <v>0.8</v>
      </c>
      <c r="H123" s="3">
        <v>7.0000000000000007E-2</v>
      </c>
      <c r="I123" s="3">
        <v>6.34</v>
      </c>
      <c r="J123" s="3">
        <v>0.09</v>
      </c>
      <c r="K123" s="3">
        <v>0.19</v>
      </c>
      <c r="L123" s="3">
        <v>0.03</v>
      </c>
      <c r="M123" s="3">
        <v>15.6</v>
      </c>
      <c r="N123" s="3">
        <v>0.09</v>
      </c>
      <c r="O123" s="3">
        <v>0.3</v>
      </c>
      <c r="P123" s="3">
        <v>0.01</v>
      </c>
      <c r="Q123" s="3">
        <v>6.68</v>
      </c>
      <c r="R123" s="3">
        <v>0.09</v>
      </c>
      <c r="S123" s="3">
        <v>5.47</v>
      </c>
      <c r="T123" s="3">
        <v>0.05</v>
      </c>
      <c r="U123" s="3">
        <v>1.81</v>
      </c>
      <c r="V123" s="3">
        <v>0.2</v>
      </c>
      <c r="W123" s="3">
        <v>0.6</v>
      </c>
      <c r="X123" s="3">
        <v>0.06</v>
      </c>
      <c r="Y123" s="3">
        <v>1.0900000000000001</v>
      </c>
      <c r="Z123" s="3">
        <v>0.08</v>
      </c>
      <c r="AA123" s="3">
        <v>21.09</v>
      </c>
      <c r="AB123" s="3">
        <v>0.21</v>
      </c>
      <c r="AC123" s="3">
        <v>1.04</v>
      </c>
      <c r="AD123" s="3">
        <v>0.02</v>
      </c>
      <c r="AE123" s="3">
        <v>483</v>
      </c>
      <c r="AF123" s="3">
        <v>54</v>
      </c>
      <c r="AG123" s="3">
        <v>435</v>
      </c>
      <c r="AH123" s="3">
        <v>22</v>
      </c>
      <c r="AI123" s="3">
        <v>234</v>
      </c>
      <c r="AJ123" s="3">
        <v>20</v>
      </c>
    </row>
    <row r="124" spans="1:36" x14ac:dyDescent="0.25">
      <c r="A124" s="7">
        <v>1046</v>
      </c>
      <c r="B124" s="3" t="s">
        <v>4</v>
      </c>
      <c r="C124" s="3" t="s">
        <v>415</v>
      </c>
      <c r="D124" s="3"/>
      <c r="E124" s="3">
        <v>44</v>
      </c>
      <c r="F124" s="3">
        <v>0.41</v>
      </c>
      <c r="G124" s="3">
        <v>0.24</v>
      </c>
      <c r="H124" s="3">
        <v>0.06</v>
      </c>
      <c r="I124" s="3">
        <v>4.3499999999999996</v>
      </c>
      <c r="J124" s="3">
        <v>0.1</v>
      </c>
      <c r="K124" s="3">
        <v>0.61</v>
      </c>
      <c r="L124" s="3">
        <v>0.04</v>
      </c>
      <c r="M124" s="3">
        <v>20.6</v>
      </c>
      <c r="N124" s="3">
        <v>0.13</v>
      </c>
      <c r="O124" s="3">
        <v>0.38</v>
      </c>
      <c r="P124" s="3">
        <v>0.01</v>
      </c>
      <c r="Q124" s="3">
        <v>18.04</v>
      </c>
      <c r="R124" s="3">
        <v>0.2</v>
      </c>
      <c r="S124" s="3">
        <v>3.43</v>
      </c>
      <c r="T124" s="3">
        <v>0.03</v>
      </c>
      <c r="U124" s="3">
        <v>1.51</v>
      </c>
      <c r="V124" s="3">
        <v>0.35</v>
      </c>
      <c r="W124" s="3">
        <v>0.14000000000000001</v>
      </c>
      <c r="X124" s="3">
        <v>0.05</v>
      </c>
      <c r="Y124" s="3">
        <v>0.61</v>
      </c>
      <c r="Z124" s="3">
        <v>7.0000000000000007E-2</v>
      </c>
      <c r="AA124" s="3">
        <v>5.09</v>
      </c>
      <c r="AB124" s="3">
        <v>7.0000000000000007E-2</v>
      </c>
      <c r="AC124" s="3">
        <v>0.62</v>
      </c>
      <c r="AD124" s="3">
        <v>0.01</v>
      </c>
      <c r="AE124" s="3">
        <v>3207</v>
      </c>
      <c r="AF124" s="3">
        <v>76</v>
      </c>
      <c r="AG124" s="3">
        <v>164</v>
      </c>
      <c r="AH124" s="3">
        <v>13</v>
      </c>
      <c r="AI124" s="3">
        <v>59</v>
      </c>
      <c r="AJ124" s="3">
        <v>16</v>
      </c>
    </row>
    <row r="125" spans="1:36" x14ac:dyDescent="0.25">
      <c r="A125" s="7">
        <v>1136</v>
      </c>
      <c r="B125" s="3" t="s">
        <v>3</v>
      </c>
      <c r="C125" s="3" t="s">
        <v>416</v>
      </c>
      <c r="D125" s="3"/>
      <c r="E125" s="3">
        <v>40</v>
      </c>
      <c r="F125" s="3">
        <v>0.37</v>
      </c>
      <c r="G125" s="3">
        <v>0.82</v>
      </c>
      <c r="H125" s="3">
        <v>7.0000000000000007E-2</v>
      </c>
      <c r="I125" s="3">
        <v>7.79</v>
      </c>
      <c r="J125" s="3">
        <v>0.11</v>
      </c>
      <c r="K125" s="3">
        <v>0.31</v>
      </c>
      <c r="L125" s="3">
        <v>0.03</v>
      </c>
      <c r="M125" s="3">
        <v>28.2</v>
      </c>
      <c r="N125" s="3">
        <v>0.15</v>
      </c>
      <c r="O125" s="3">
        <v>0.28999999999999998</v>
      </c>
      <c r="P125" s="3">
        <v>0.01</v>
      </c>
      <c r="Q125" s="3">
        <v>6.62</v>
      </c>
      <c r="R125" s="3">
        <v>0.13</v>
      </c>
      <c r="S125" s="3">
        <v>5.96</v>
      </c>
      <c r="T125" s="3">
        <v>0.05</v>
      </c>
      <c r="U125" s="3">
        <v>1.96</v>
      </c>
      <c r="V125" s="3">
        <v>0.28000000000000003</v>
      </c>
      <c r="W125" s="3">
        <v>0.42</v>
      </c>
      <c r="X125" s="3">
        <v>0.06</v>
      </c>
      <c r="Y125" s="3">
        <v>0.85</v>
      </c>
      <c r="Z125" s="3">
        <v>0.08</v>
      </c>
      <c r="AA125" s="3">
        <v>5.89</v>
      </c>
      <c r="AB125" s="3">
        <v>0.08</v>
      </c>
      <c r="AC125" s="3">
        <v>0.75</v>
      </c>
      <c r="AD125" s="3">
        <v>0.02</v>
      </c>
      <c r="AE125" s="3">
        <v>660</v>
      </c>
      <c r="AF125" s="3">
        <v>59</v>
      </c>
      <c r="AG125" s="3">
        <v>351</v>
      </c>
      <c r="AH125" s="3">
        <v>20</v>
      </c>
      <c r="AI125" s="3">
        <v>83</v>
      </c>
      <c r="AJ125" s="3">
        <v>17</v>
      </c>
    </row>
    <row r="126" spans="1:36" x14ac:dyDescent="0.25">
      <c r="A126" s="7">
        <v>1140</v>
      </c>
      <c r="B126" s="3" t="s">
        <v>3</v>
      </c>
      <c r="C126" s="3" t="s">
        <v>417</v>
      </c>
      <c r="D126" s="3"/>
      <c r="E126" s="3">
        <v>38.9</v>
      </c>
      <c r="F126" s="3">
        <v>0.43</v>
      </c>
      <c r="G126" s="3">
        <v>0.79</v>
      </c>
      <c r="H126" s="3">
        <v>7.0000000000000007E-2</v>
      </c>
      <c r="I126" s="3">
        <v>7.34</v>
      </c>
      <c r="J126" s="3">
        <v>0.13</v>
      </c>
      <c r="K126" s="3">
        <v>0.39</v>
      </c>
      <c r="L126" s="3">
        <v>0.04</v>
      </c>
      <c r="M126" s="3">
        <v>31.1</v>
      </c>
      <c r="N126" s="3">
        <v>0.22</v>
      </c>
      <c r="O126" s="3">
        <v>0.28000000000000003</v>
      </c>
      <c r="P126" s="3">
        <v>0.02</v>
      </c>
      <c r="Q126" s="3">
        <v>6.73</v>
      </c>
      <c r="R126" s="3">
        <v>0.15</v>
      </c>
      <c r="S126" s="3">
        <v>5.69</v>
      </c>
      <c r="T126" s="3">
        <v>0.06</v>
      </c>
      <c r="U126" s="3">
        <v>1.97</v>
      </c>
      <c r="V126" s="3">
        <v>0.31</v>
      </c>
      <c r="W126" s="3">
        <v>0.4</v>
      </c>
      <c r="X126" s="3">
        <v>0.06</v>
      </c>
      <c r="Y126" s="3">
        <v>0.77</v>
      </c>
      <c r="Z126" s="3">
        <v>0.08</v>
      </c>
      <c r="AA126" s="3">
        <v>4.87</v>
      </c>
      <c r="AB126" s="3">
        <v>0.09</v>
      </c>
      <c r="AC126" s="3">
        <v>0.67</v>
      </c>
      <c r="AD126" s="3">
        <v>0.02</v>
      </c>
      <c r="AE126" s="3">
        <v>546</v>
      </c>
      <c r="AF126" s="3">
        <v>65</v>
      </c>
      <c r="AG126" s="3">
        <v>283</v>
      </c>
      <c r="AH126" s="3">
        <v>23</v>
      </c>
      <c r="AI126" s="3">
        <v>62</v>
      </c>
      <c r="AJ126" s="3">
        <v>19</v>
      </c>
    </row>
    <row r="127" spans="1:36" x14ac:dyDescent="0.25">
      <c r="A127" s="7">
        <v>1145</v>
      </c>
      <c r="B127" s="3" t="s">
        <v>3</v>
      </c>
      <c r="C127" s="3" t="s">
        <v>418</v>
      </c>
      <c r="D127" s="3"/>
      <c r="E127" s="3">
        <v>41.9</v>
      </c>
      <c r="F127" s="3">
        <v>0.4</v>
      </c>
      <c r="G127" s="3">
        <v>0.87</v>
      </c>
      <c r="H127" s="3">
        <v>0.08</v>
      </c>
      <c r="I127" s="3">
        <v>7.83</v>
      </c>
      <c r="J127" s="3">
        <v>0.14000000000000001</v>
      </c>
      <c r="K127" s="3">
        <v>0.42</v>
      </c>
      <c r="L127" s="3">
        <v>0.05</v>
      </c>
      <c r="M127" s="3">
        <v>27.3</v>
      </c>
      <c r="N127" s="3">
        <v>0.15</v>
      </c>
      <c r="O127" s="3">
        <v>0.3</v>
      </c>
      <c r="P127" s="3">
        <v>0.02</v>
      </c>
      <c r="Q127" s="3">
        <v>6.75</v>
      </c>
      <c r="R127" s="3">
        <v>0.16</v>
      </c>
      <c r="S127" s="3">
        <v>6.67</v>
      </c>
      <c r="T127" s="3">
        <v>0.08</v>
      </c>
      <c r="U127" s="3">
        <v>1.31</v>
      </c>
      <c r="V127" s="3">
        <v>0.28999999999999998</v>
      </c>
      <c r="W127" s="3">
        <v>0.48</v>
      </c>
      <c r="X127" s="3">
        <v>7.0000000000000007E-2</v>
      </c>
      <c r="Y127" s="3">
        <v>0.88</v>
      </c>
      <c r="Z127" s="3">
        <v>0.09</v>
      </c>
      <c r="AA127" s="3">
        <v>4.58</v>
      </c>
      <c r="AB127" s="3">
        <v>0.1</v>
      </c>
      <c r="AC127" s="3">
        <v>0.62</v>
      </c>
      <c r="AD127" s="3">
        <v>0.02</v>
      </c>
      <c r="AE127" s="3">
        <v>361</v>
      </c>
      <c r="AF127" s="3">
        <v>86</v>
      </c>
      <c r="AG127" s="3">
        <v>269</v>
      </c>
      <c r="AH127" s="3">
        <v>34</v>
      </c>
      <c r="AI127" s="3">
        <v>54</v>
      </c>
      <c r="AJ127" s="3">
        <v>23</v>
      </c>
    </row>
    <row r="128" spans="1:36" x14ac:dyDescent="0.25">
      <c r="A128" s="7">
        <v>1148</v>
      </c>
      <c r="B128" s="3" t="s">
        <v>3</v>
      </c>
      <c r="C128" s="3" t="s">
        <v>419</v>
      </c>
      <c r="D128" s="3"/>
      <c r="E128" s="3">
        <v>42.4</v>
      </c>
      <c r="F128" s="3">
        <v>0.32</v>
      </c>
      <c r="G128" s="3">
        <v>0.89</v>
      </c>
      <c r="H128" s="3">
        <v>7.0000000000000007E-2</v>
      </c>
      <c r="I128" s="3">
        <v>7.88</v>
      </c>
      <c r="J128" s="3">
        <v>0.1</v>
      </c>
      <c r="K128" s="3">
        <v>0.46</v>
      </c>
      <c r="L128" s="3">
        <v>0.04</v>
      </c>
      <c r="M128" s="3">
        <v>25.6</v>
      </c>
      <c r="N128" s="3">
        <v>0.12</v>
      </c>
      <c r="O128" s="3">
        <v>0.37</v>
      </c>
      <c r="P128" s="3">
        <v>0.01</v>
      </c>
      <c r="Q128" s="3">
        <v>7.38</v>
      </c>
      <c r="R128" s="3">
        <v>0.09</v>
      </c>
      <c r="S128" s="3">
        <v>6.64</v>
      </c>
      <c r="T128" s="3">
        <v>0.06</v>
      </c>
      <c r="U128" s="3">
        <v>1.97</v>
      </c>
      <c r="V128" s="3">
        <v>0.19</v>
      </c>
      <c r="W128" s="3">
        <v>0.44</v>
      </c>
      <c r="X128" s="3">
        <v>0.06</v>
      </c>
      <c r="Y128" s="3">
        <v>0.79</v>
      </c>
      <c r="Z128" s="3">
        <v>0.08</v>
      </c>
      <c r="AA128" s="3">
        <v>4.5</v>
      </c>
      <c r="AB128" s="3">
        <v>7.0000000000000007E-2</v>
      </c>
      <c r="AC128" s="3">
        <v>0.6</v>
      </c>
      <c r="AD128" s="3">
        <v>0.02</v>
      </c>
      <c r="AE128" s="3">
        <v>517</v>
      </c>
      <c r="AF128" s="3">
        <v>58</v>
      </c>
      <c r="AG128" s="3">
        <v>255</v>
      </c>
      <c r="AH128" s="3">
        <v>19</v>
      </c>
      <c r="AI128" s="3">
        <v>21</v>
      </c>
      <c r="AJ128" s="3">
        <v>16</v>
      </c>
    </row>
    <row r="129" spans="1:36" x14ac:dyDescent="0.25">
      <c r="A129" s="7">
        <v>1168</v>
      </c>
      <c r="B129" s="3" t="s">
        <v>5</v>
      </c>
      <c r="C129" s="3" t="s">
        <v>420</v>
      </c>
      <c r="D129" s="3"/>
      <c r="E129" s="3">
        <v>39.799999999999997</v>
      </c>
      <c r="F129" s="3">
        <v>0.33</v>
      </c>
      <c r="G129" s="3">
        <v>0.84</v>
      </c>
      <c r="H129" s="3">
        <v>7.0000000000000007E-2</v>
      </c>
      <c r="I129" s="3">
        <v>7.15</v>
      </c>
      <c r="J129" s="3">
        <v>0.09</v>
      </c>
      <c r="K129" s="3">
        <v>0.24</v>
      </c>
      <c r="L129" s="3">
        <v>0.03</v>
      </c>
      <c r="M129" s="3">
        <v>16.2</v>
      </c>
      <c r="N129" s="3">
        <v>0.09</v>
      </c>
      <c r="O129" s="3">
        <v>0.28000000000000003</v>
      </c>
      <c r="P129" s="3">
        <v>0.01</v>
      </c>
      <c r="Q129" s="3">
        <v>7.64</v>
      </c>
      <c r="R129" s="3">
        <v>0.11</v>
      </c>
      <c r="S129" s="3">
        <v>5.81</v>
      </c>
      <c r="T129" s="3">
        <v>0.04</v>
      </c>
      <c r="U129" s="3">
        <v>1.93</v>
      </c>
      <c r="V129" s="3">
        <v>0.24</v>
      </c>
      <c r="W129" s="3">
        <v>0.54</v>
      </c>
      <c r="X129" s="3">
        <v>0.06</v>
      </c>
      <c r="Y129" s="3">
        <v>1.02</v>
      </c>
      <c r="Z129" s="3">
        <v>0.08</v>
      </c>
      <c r="AA129" s="3">
        <v>17.45</v>
      </c>
      <c r="AB129" s="3">
        <v>0.16</v>
      </c>
      <c r="AC129" s="3">
        <v>1</v>
      </c>
      <c r="AD129" s="3">
        <v>0.02</v>
      </c>
      <c r="AE129" s="3">
        <v>497</v>
      </c>
      <c r="AF129" s="3">
        <v>45</v>
      </c>
      <c r="AG129" s="3">
        <v>413</v>
      </c>
      <c r="AH129" s="3">
        <v>15</v>
      </c>
      <c r="AI129" s="3">
        <v>247</v>
      </c>
      <c r="AJ129" s="3">
        <v>17</v>
      </c>
    </row>
    <row r="130" spans="1:36" x14ac:dyDescent="0.25">
      <c r="A130" s="7">
        <v>1176</v>
      </c>
      <c r="B130" s="3" t="s">
        <v>4</v>
      </c>
      <c r="C130" s="3" t="s">
        <v>421</v>
      </c>
      <c r="D130" s="3"/>
      <c r="E130" s="3">
        <v>40.799999999999997</v>
      </c>
      <c r="F130" s="3">
        <v>0.41</v>
      </c>
      <c r="G130" s="3">
        <v>0.86</v>
      </c>
      <c r="H130" s="3">
        <v>7.0000000000000007E-2</v>
      </c>
      <c r="I130" s="3">
        <v>7.31</v>
      </c>
      <c r="J130" s="3">
        <v>0.11</v>
      </c>
      <c r="K130" s="3">
        <v>0.21</v>
      </c>
      <c r="L130" s="3">
        <v>0.03</v>
      </c>
      <c r="M130" s="3">
        <v>14.8</v>
      </c>
      <c r="N130" s="3">
        <v>0.11</v>
      </c>
      <c r="O130" s="3">
        <v>0.2</v>
      </c>
      <c r="P130" s="3">
        <v>0.01</v>
      </c>
      <c r="Q130" s="3">
        <v>7.04</v>
      </c>
      <c r="R130" s="3">
        <v>0.11</v>
      </c>
      <c r="S130" s="3">
        <v>5.73</v>
      </c>
      <c r="T130" s="3">
        <v>0.05</v>
      </c>
      <c r="U130" s="3">
        <v>1.97</v>
      </c>
      <c r="V130" s="3">
        <v>0.22</v>
      </c>
      <c r="W130" s="3">
        <v>0.64</v>
      </c>
      <c r="X130" s="3">
        <v>0.06</v>
      </c>
      <c r="Y130" s="3">
        <v>1.07</v>
      </c>
      <c r="Z130" s="3">
        <v>0.09</v>
      </c>
      <c r="AA130" s="3">
        <v>18.420000000000002</v>
      </c>
      <c r="AB130" s="3">
        <v>0.2</v>
      </c>
      <c r="AC130" s="3">
        <v>0.85</v>
      </c>
      <c r="AD130" s="3">
        <v>0.02</v>
      </c>
      <c r="AE130" s="3">
        <v>319</v>
      </c>
      <c r="AF130" s="3">
        <v>47</v>
      </c>
      <c r="AG130" s="3">
        <v>291</v>
      </c>
      <c r="AH130" s="3">
        <v>17</v>
      </c>
      <c r="AI130" s="3">
        <v>264</v>
      </c>
      <c r="AJ130" s="3">
        <v>20</v>
      </c>
    </row>
    <row r="131" spans="1:36" x14ac:dyDescent="0.25">
      <c r="A131" s="7">
        <v>1178</v>
      </c>
      <c r="B131" s="3" t="s">
        <v>5</v>
      </c>
      <c r="C131" s="3" t="s">
        <v>422</v>
      </c>
      <c r="D131" s="3"/>
      <c r="E131" s="3">
        <v>40.6</v>
      </c>
      <c r="F131" s="3">
        <v>0.42</v>
      </c>
      <c r="G131" s="3">
        <v>0.85</v>
      </c>
      <c r="H131" s="3">
        <v>7.0000000000000007E-2</v>
      </c>
      <c r="I131" s="3">
        <v>7.25</v>
      </c>
      <c r="J131" s="3">
        <v>0.11</v>
      </c>
      <c r="K131" s="3">
        <v>0.2</v>
      </c>
      <c r="L131" s="3">
        <v>0.03</v>
      </c>
      <c r="M131" s="3">
        <v>15</v>
      </c>
      <c r="N131" s="3">
        <v>0.12</v>
      </c>
      <c r="O131" s="3">
        <v>0.2</v>
      </c>
      <c r="P131" s="3">
        <v>0.01</v>
      </c>
      <c r="Q131" s="3">
        <v>7.09</v>
      </c>
      <c r="R131" s="3">
        <v>0.11</v>
      </c>
      <c r="S131" s="3">
        <v>5.74</v>
      </c>
      <c r="T131" s="3">
        <v>0.06</v>
      </c>
      <c r="U131" s="3">
        <v>1.95</v>
      </c>
      <c r="V131" s="3">
        <v>0.22</v>
      </c>
      <c r="W131" s="3">
        <v>0.62</v>
      </c>
      <c r="X131" s="3">
        <v>0.06</v>
      </c>
      <c r="Y131" s="3">
        <v>1.06</v>
      </c>
      <c r="Z131" s="3">
        <v>0.09</v>
      </c>
      <c r="AA131" s="3">
        <v>18.52</v>
      </c>
      <c r="AB131" s="3">
        <v>0.21</v>
      </c>
      <c r="AC131" s="3">
        <v>0.85</v>
      </c>
      <c r="AD131" s="3">
        <v>0.02</v>
      </c>
      <c r="AE131" s="3">
        <v>340</v>
      </c>
      <c r="AF131" s="3">
        <v>50</v>
      </c>
      <c r="AG131" s="3">
        <v>261</v>
      </c>
      <c r="AH131" s="3">
        <v>18</v>
      </c>
      <c r="AI131" s="3">
        <v>274</v>
      </c>
      <c r="AJ131" s="3">
        <v>20</v>
      </c>
    </row>
    <row r="132" spans="1:36" x14ac:dyDescent="0.25">
      <c r="A132" s="7">
        <v>1182</v>
      </c>
      <c r="B132" s="3" t="s">
        <v>6</v>
      </c>
      <c r="C132" s="3" t="s">
        <v>423</v>
      </c>
      <c r="D132" s="3"/>
      <c r="E132" s="3">
        <v>39.1</v>
      </c>
      <c r="F132" s="3">
        <v>0.43</v>
      </c>
      <c r="G132" s="3">
        <v>0.84</v>
      </c>
      <c r="H132" s="3">
        <v>7.0000000000000007E-2</v>
      </c>
      <c r="I132" s="3">
        <v>6.97</v>
      </c>
      <c r="J132" s="3">
        <v>0.13</v>
      </c>
      <c r="K132" s="3">
        <v>0.23</v>
      </c>
      <c r="L132" s="3">
        <v>0.04</v>
      </c>
      <c r="M132" s="3">
        <v>16.100000000000001</v>
      </c>
      <c r="N132" s="3">
        <v>0.13</v>
      </c>
      <c r="O132" s="3">
        <v>0.21</v>
      </c>
      <c r="P132" s="3">
        <v>0.01</v>
      </c>
      <c r="Q132" s="3">
        <v>7.14</v>
      </c>
      <c r="R132" s="3">
        <v>0.15</v>
      </c>
      <c r="S132" s="3">
        <v>5.88</v>
      </c>
      <c r="T132" s="3">
        <v>0.06</v>
      </c>
      <c r="U132" s="3">
        <v>2.0299999999999998</v>
      </c>
      <c r="V132" s="3">
        <v>0.3</v>
      </c>
      <c r="W132" s="3">
        <v>0.66</v>
      </c>
      <c r="X132" s="3">
        <v>7.0000000000000007E-2</v>
      </c>
      <c r="Y132" s="3">
        <v>1.04</v>
      </c>
      <c r="Z132" s="3">
        <v>0.09</v>
      </c>
      <c r="AA132" s="3">
        <v>19.100000000000001</v>
      </c>
      <c r="AB132" s="3">
        <v>0.23</v>
      </c>
      <c r="AC132" s="3">
        <v>0.56999999999999995</v>
      </c>
      <c r="AD132" s="3">
        <v>0.02</v>
      </c>
      <c r="AE132" s="3">
        <v>371</v>
      </c>
      <c r="AF132" s="3">
        <v>55</v>
      </c>
      <c r="AG132" s="3">
        <v>273</v>
      </c>
      <c r="AH132" s="3">
        <v>20</v>
      </c>
      <c r="AI132" s="3">
        <v>297</v>
      </c>
      <c r="AJ132" s="3">
        <v>23</v>
      </c>
    </row>
    <row r="133" spans="1:36" x14ac:dyDescent="0.25">
      <c r="A133" s="7">
        <v>1311</v>
      </c>
      <c r="B133" s="3" t="s">
        <v>4</v>
      </c>
      <c r="C133" s="3" t="s">
        <v>424</v>
      </c>
      <c r="D133" s="3"/>
      <c r="E133" s="3">
        <v>39.4</v>
      </c>
      <c r="F133" s="3">
        <v>0.43</v>
      </c>
      <c r="G133" s="3">
        <v>0.79</v>
      </c>
      <c r="H133" s="3">
        <v>7.0000000000000007E-2</v>
      </c>
      <c r="I133" s="3">
        <v>7</v>
      </c>
      <c r="J133" s="3">
        <v>0.14000000000000001</v>
      </c>
      <c r="K133" s="3">
        <v>0.19</v>
      </c>
      <c r="L133" s="3">
        <v>0.04</v>
      </c>
      <c r="M133" s="3">
        <v>16.7</v>
      </c>
      <c r="N133" s="3">
        <v>0.14000000000000001</v>
      </c>
      <c r="O133" s="3">
        <v>0.28999999999999998</v>
      </c>
      <c r="P133" s="3">
        <v>0.02</v>
      </c>
      <c r="Q133" s="3">
        <v>7.51</v>
      </c>
      <c r="R133" s="3">
        <v>0.13</v>
      </c>
      <c r="S133" s="3">
        <v>5.26</v>
      </c>
      <c r="T133" s="3">
        <v>0.06</v>
      </c>
      <c r="U133" s="3">
        <v>1.88</v>
      </c>
      <c r="V133" s="3">
        <v>0.23</v>
      </c>
      <c r="W133" s="3">
        <v>0.54</v>
      </c>
      <c r="X133" s="3">
        <v>0.06</v>
      </c>
      <c r="Y133" s="3">
        <v>1.03</v>
      </c>
      <c r="Z133" s="3">
        <v>0.1</v>
      </c>
      <c r="AA133" s="3">
        <v>18.36</v>
      </c>
      <c r="AB133" s="3">
        <v>0.23</v>
      </c>
      <c r="AC133" s="3">
        <v>0.87</v>
      </c>
      <c r="AD133" s="3">
        <v>0.02</v>
      </c>
      <c r="AE133" s="3">
        <v>563</v>
      </c>
      <c r="AF133" s="3">
        <v>61</v>
      </c>
      <c r="AG133" s="3">
        <v>506</v>
      </c>
      <c r="AH133" s="3">
        <v>26</v>
      </c>
      <c r="AI133" s="3">
        <v>34</v>
      </c>
      <c r="AJ133" s="3">
        <v>18</v>
      </c>
    </row>
    <row r="134" spans="1:36" x14ac:dyDescent="0.25">
      <c r="A134" s="7">
        <v>1313</v>
      </c>
      <c r="B134" s="3" t="s">
        <v>5</v>
      </c>
      <c r="C134" s="3" t="s">
        <v>425</v>
      </c>
      <c r="D134" s="3"/>
      <c r="E134" s="3">
        <v>36.299999999999997</v>
      </c>
      <c r="F134" s="3">
        <v>0.39</v>
      </c>
      <c r="G134" s="3">
        <v>0.74</v>
      </c>
      <c r="H134" s="3">
        <v>7.0000000000000007E-2</v>
      </c>
      <c r="I134" s="3">
        <v>6.04</v>
      </c>
      <c r="J134" s="3">
        <v>0.11</v>
      </c>
      <c r="K134" s="3">
        <v>0.17</v>
      </c>
      <c r="L134" s="3">
        <v>0.03</v>
      </c>
      <c r="M134" s="3">
        <v>16.399999999999999</v>
      </c>
      <c r="N134" s="3">
        <v>0.13</v>
      </c>
      <c r="O134" s="3">
        <v>0.31</v>
      </c>
      <c r="P134" s="3">
        <v>0.01</v>
      </c>
      <c r="Q134" s="3">
        <v>7.4</v>
      </c>
      <c r="R134" s="3">
        <v>0.12</v>
      </c>
      <c r="S134" s="3">
        <v>5.35</v>
      </c>
      <c r="T134" s="3">
        <v>0.06</v>
      </c>
      <c r="U134" s="3">
        <v>1.63</v>
      </c>
      <c r="V134" s="3">
        <v>0.23</v>
      </c>
      <c r="W134" s="3">
        <v>0.49</v>
      </c>
      <c r="X134" s="3">
        <v>0.06</v>
      </c>
      <c r="Y134" s="3">
        <v>1.01</v>
      </c>
      <c r="Z134" s="3">
        <v>0.09</v>
      </c>
      <c r="AA134" s="3">
        <v>23.22</v>
      </c>
      <c r="AB134" s="3">
        <v>0.26</v>
      </c>
      <c r="AC134" s="3">
        <v>0.8</v>
      </c>
      <c r="AD134" s="3">
        <v>0.02</v>
      </c>
      <c r="AE134" s="3">
        <v>580</v>
      </c>
      <c r="AF134" s="3">
        <v>58</v>
      </c>
      <c r="AG134" s="3">
        <v>567</v>
      </c>
      <c r="AH134" s="3">
        <v>25</v>
      </c>
      <c r="AI134" s="3">
        <v>47</v>
      </c>
      <c r="AJ134" s="3">
        <v>17</v>
      </c>
    </row>
    <row r="135" spans="1:36" x14ac:dyDescent="0.25">
      <c r="A135" s="7">
        <v>1316</v>
      </c>
      <c r="B135" s="3" t="s">
        <v>6</v>
      </c>
      <c r="C135" s="3" t="s">
        <v>426</v>
      </c>
      <c r="D135" s="3"/>
      <c r="E135" s="3">
        <v>34.4</v>
      </c>
      <c r="F135" s="3">
        <v>0.22</v>
      </c>
      <c r="G135" s="3">
        <v>0.71</v>
      </c>
      <c r="H135" s="3">
        <v>0.06</v>
      </c>
      <c r="I135" s="3">
        <v>5.32</v>
      </c>
      <c r="J135" s="3">
        <v>0.06</v>
      </c>
      <c r="K135" s="3">
        <v>0.18</v>
      </c>
      <c r="L135" s="3">
        <v>0.03</v>
      </c>
      <c r="M135" s="3">
        <v>16.100000000000001</v>
      </c>
      <c r="N135" s="3">
        <v>0.06</v>
      </c>
      <c r="O135" s="3">
        <v>0.33</v>
      </c>
      <c r="P135" s="3">
        <v>0.01</v>
      </c>
      <c r="Q135" s="3">
        <v>7.23</v>
      </c>
      <c r="R135" s="3">
        <v>7.0000000000000007E-2</v>
      </c>
      <c r="S135" s="3">
        <v>5.62</v>
      </c>
      <c r="T135" s="3">
        <v>0.04</v>
      </c>
      <c r="U135" s="3">
        <v>1.46</v>
      </c>
      <c r="V135" s="3">
        <v>0.16</v>
      </c>
      <c r="W135" s="3">
        <v>0.52</v>
      </c>
      <c r="X135" s="3">
        <v>0.06</v>
      </c>
      <c r="Y135" s="3">
        <v>1</v>
      </c>
      <c r="Z135" s="3">
        <v>7.0000000000000007E-2</v>
      </c>
      <c r="AA135" s="3">
        <v>26.38</v>
      </c>
      <c r="AB135" s="3">
        <v>0.17</v>
      </c>
      <c r="AC135" s="3">
        <v>0.68</v>
      </c>
      <c r="AD135" s="3">
        <v>0.01</v>
      </c>
      <c r="AE135" s="3">
        <v>523</v>
      </c>
      <c r="AF135" s="3">
        <v>39</v>
      </c>
      <c r="AG135" s="3">
        <v>507</v>
      </c>
      <c r="AH135" s="3">
        <v>13</v>
      </c>
      <c r="AI135" s="3">
        <v>22</v>
      </c>
      <c r="AJ135" s="3">
        <v>13</v>
      </c>
    </row>
    <row r="136" spans="1:36" x14ac:dyDescent="0.25">
      <c r="A136" s="7">
        <v>1322</v>
      </c>
      <c r="B136" s="3" t="s">
        <v>4</v>
      </c>
      <c r="C136" s="3" t="s">
        <v>427</v>
      </c>
      <c r="D136" s="3"/>
      <c r="E136" s="3">
        <v>40</v>
      </c>
      <c r="F136" s="3">
        <v>0.36</v>
      </c>
      <c r="G136" s="3">
        <v>0.85</v>
      </c>
      <c r="H136" s="3">
        <v>7.0000000000000007E-2</v>
      </c>
      <c r="I136" s="3">
        <v>7.33</v>
      </c>
      <c r="J136" s="3">
        <v>0.09</v>
      </c>
      <c r="K136" s="3">
        <v>0.2</v>
      </c>
      <c r="L136" s="3">
        <v>0.03</v>
      </c>
      <c r="M136" s="3">
        <v>16.899999999999999</v>
      </c>
      <c r="N136" s="3">
        <v>0.11</v>
      </c>
      <c r="O136" s="3">
        <v>0.32</v>
      </c>
      <c r="P136" s="3">
        <v>0.01</v>
      </c>
      <c r="Q136" s="3">
        <v>7.21</v>
      </c>
      <c r="R136" s="3">
        <v>0.09</v>
      </c>
      <c r="S136" s="3">
        <v>5.44</v>
      </c>
      <c r="T136" s="3">
        <v>0.04</v>
      </c>
      <c r="U136" s="3">
        <v>2.0499999999999998</v>
      </c>
      <c r="V136" s="3">
        <v>0.18</v>
      </c>
      <c r="W136" s="3">
        <v>0.53</v>
      </c>
      <c r="X136" s="3">
        <v>0.06</v>
      </c>
      <c r="Y136" s="3">
        <v>1.02</v>
      </c>
      <c r="Z136" s="3">
        <v>0.08</v>
      </c>
      <c r="AA136" s="3">
        <v>17.2</v>
      </c>
      <c r="AB136" s="3">
        <v>0.16</v>
      </c>
      <c r="AC136" s="3">
        <v>0.89</v>
      </c>
      <c r="AD136" s="3">
        <v>0.02</v>
      </c>
      <c r="AE136" s="3">
        <v>583</v>
      </c>
      <c r="AF136" s="3">
        <v>44</v>
      </c>
      <c r="AG136" s="3">
        <v>483</v>
      </c>
      <c r="AH136" s="3">
        <v>15</v>
      </c>
      <c r="AI136" s="3">
        <v>72</v>
      </c>
      <c r="AJ136" s="3">
        <v>16</v>
      </c>
    </row>
    <row r="137" spans="1:36" x14ac:dyDescent="0.25">
      <c r="A137" s="7">
        <v>1332</v>
      </c>
      <c r="B137" s="3" t="s">
        <v>4</v>
      </c>
      <c r="C137" s="3" t="s">
        <v>428</v>
      </c>
      <c r="D137" s="3"/>
      <c r="E137" s="3">
        <v>42.5</v>
      </c>
      <c r="F137" s="3">
        <v>0.28000000000000003</v>
      </c>
      <c r="G137" s="3">
        <v>0.95</v>
      </c>
      <c r="H137" s="3">
        <v>7.0000000000000007E-2</v>
      </c>
      <c r="I137" s="3">
        <v>8.11</v>
      </c>
      <c r="J137" s="3">
        <v>0.08</v>
      </c>
      <c r="K137" s="3">
        <v>0.23</v>
      </c>
      <c r="L137" s="3">
        <v>0.03</v>
      </c>
      <c r="M137" s="3">
        <v>16.8</v>
      </c>
      <c r="N137" s="3">
        <v>7.0000000000000007E-2</v>
      </c>
      <c r="O137" s="3">
        <v>0.26</v>
      </c>
      <c r="P137" s="3">
        <v>0.01</v>
      </c>
      <c r="Q137" s="3">
        <v>7.47</v>
      </c>
      <c r="R137" s="3">
        <v>0.08</v>
      </c>
      <c r="S137" s="3">
        <v>6.17</v>
      </c>
      <c r="T137" s="3">
        <v>0.04</v>
      </c>
      <c r="U137" s="3">
        <v>2.16</v>
      </c>
      <c r="V137" s="3">
        <v>0.17</v>
      </c>
      <c r="W137" s="3">
        <v>0.52</v>
      </c>
      <c r="X137" s="3">
        <v>0.06</v>
      </c>
      <c r="Y137" s="3">
        <v>1.01</v>
      </c>
      <c r="Z137" s="3">
        <v>7.0000000000000007E-2</v>
      </c>
      <c r="AA137" s="3">
        <v>12.72</v>
      </c>
      <c r="AB137" s="3">
        <v>0.11</v>
      </c>
      <c r="AC137" s="3">
        <v>0.98</v>
      </c>
      <c r="AD137" s="3">
        <v>0.02</v>
      </c>
      <c r="AE137" s="3">
        <v>579</v>
      </c>
      <c r="AF137" s="3">
        <v>43</v>
      </c>
      <c r="AG137" s="3">
        <v>705</v>
      </c>
      <c r="AH137" s="3">
        <v>17</v>
      </c>
      <c r="AI137" s="3">
        <v>170</v>
      </c>
      <c r="AJ137" s="3">
        <v>16</v>
      </c>
    </row>
    <row r="138" spans="1:36" x14ac:dyDescent="0.25">
      <c r="A138" s="7">
        <v>1348</v>
      </c>
      <c r="B138" s="3" t="s">
        <v>5</v>
      </c>
      <c r="C138" s="3" t="s">
        <v>429</v>
      </c>
      <c r="D138" s="3"/>
      <c r="E138" s="3">
        <v>36.1</v>
      </c>
      <c r="F138" s="3">
        <v>0.41</v>
      </c>
      <c r="G138" s="3">
        <v>0.81</v>
      </c>
      <c r="H138" s="3">
        <v>7.0000000000000007E-2</v>
      </c>
      <c r="I138" s="3">
        <v>5.84</v>
      </c>
      <c r="J138" s="3">
        <v>0.12</v>
      </c>
      <c r="K138" s="3">
        <v>0.22</v>
      </c>
      <c r="L138" s="3">
        <v>0.04</v>
      </c>
      <c r="M138" s="3">
        <v>17.2</v>
      </c>
      <c r="N138" s="3">
        <v>0.15</v>
      </c>
      <c r="O138" s="3">
        <v>0.28999999999999998</v>
      </c>
      <c r="P138" s="3">
        <v>0.02</v>
      </c>
      <c r="Q138" s="3">
        <v>7.65</v>
      </c>
      <c r="R138" s="3">
        <v>0.16</v>
      </c>
      <c r="S138" s="3">
        <v>4.34</v>
      </c>
      <c r="T138" s="3">
        <v>0.05</v>
      </c>
      <c r="U138" s="3">
        <v>1.71</v>
      </c>
      <c r="V138" s="3">
        <v>0.33</v>
      </c>
      <c r="W138" s="3">
        <v>0.57999999999999996</v>
      </c>
      <c r="X138" s="3">
        <v>0.06</v>
      </c>
      <c r="Y138" s="3">
        <v>1.07</v>
      </c>
      <c r="Z138" s="3">
        <v>0.1</v>
      </c>
      <c r="AA138" s="3">
        <v>23.24</v>
      </c>
      <c r="AB138" s="3">
        <v>0.27</v>
      </c>
      <c r="AC138" s="3">
        <v>0.81</v>
      </c>
      <c r="AD138" s="3">
        <v>0.02</v>
      </c>
      <c r="AE138" s="3">
        <v>637</v>
      </c>
      <c r="AF138" s="3">
        <v>64</v>
      </c>
      <c r="AG138" s="3">
        <v>859</v>
      </c>
      <c r="AH138" s="3">
        <v>33</v>
      </c>
      <c r="AI138" s="3">
        <v>122</v>
      </c>
      <c r="AJ138" s="3">
        <v>19</v>
      </c>
    </row>
    <row r="139" spans="1:36" x14ac:dyDescent="0.25">
      <c r="A139" s="7">
        <v>1349</v>
      </c>
      <c r="B139" s="3" t="s">
        <v>5</v>
      </c>
      <c r="C139" s="3" t="s">
        <v>430</v>
      </c>
      <c r="D139" s="3"/>
      <c r="E139" s="3">
        <v>36.1</v>
      </c>
      <c r="F139" s="3">
        <v>0.34</v>
      </c>
      <c r="G139" s="3">
        <v>0.83</v>
      </c>
      <c r="H139" s="3">
        <v>7.0000000000000007E-2</v>
      </c>
      <c r="I139" s="3">
        <v>5.85</v>
      </c>
      <c r="J139" s="3">
        <v>0.09</v>
      </c>
      <c r="K139" s="3">
        <v>0.19</v>
      </c>
      <c r="L139" s="3">
        <v>0.03</v>
      </c>
      <c r="M139" s="3">
        <v>17.2</v>
      </c>
      <c r="N139" s="3">
        <v>0.11</v>
      </c>
      <c r="O139" s="3">
        <v>0.26</v>
      </c>
      <c r="P139" s="3">
        <v>0.01</v>
      </c>
      <c r="Q139" s="3">
        <v>7.63</v>
      </c>
      <c r="R139" s="3">
        <v>0.11</v>
      </c>
      <c r="S139" s="3">
        <v>4.37</v>
      </c>
      <c r="T139" s="3">
        <v>0.04</v>
      </c>
      <c r="U139" s="3">
        <v>1.7</v>
      </c>
      <c r="V139" s="3">
        <v>0.24</v>
      </c>
      <c r="W139" s="3">
        <v>0.56999999999999995</v>
      </c>
      <c r="X139" s="3">
        <v>0.06</v>
      </c>
      <c r="Y139" s="3">
        <v>1.04</v>
      </c>
      <c r="Z139" s="3">
        <v>0.08</v>
      </c>
      <c r="AA139" s="3">
        <v>23.21</v>
      </c>
      <c r="AB139" s="3">
        <v>0.21</v>
      </c>
      <c r="AC139" s="3">
        <v>0.78</v>
      </c>
      <c r="AD139" s="3">
        <v>0.02</v>
      </c>
      <c r="AE139" s="3">
        <v>598</v>
      </c>
      <c r="AF139" s="3">
        <v>46</v>
      </c>
      <c r="AG139" s="3">
        <v>835</v>
      </c>
      <c r="AH139" s="3">
        <v>20</v>
      </c>
      <c r="AI139" s="3">
        <v>122</v>
      </c>
      <c r="AJ139" s="3">
        <v>16</v>
      </c>
    </row>
    <row r="140" spans="1:36" x14ac:dyDescent="0.25">
      <c r="A140" s="7">
        <v>1361</v>
      </c>
      <c r="B140" s="3" t="s">
        <v>4</v>
      </c>
      <c r="C140" s="3" t="s">
        <v>431</v>
      </c>
      <c r="D140" s="3"/>
      <c r="E140" s="3">
        <v>42.8</v>
      </c>
      <c r="F140" s="3">
        <v>0.44</v>
      </c>
      <c r="G140" s="3">
        <v>0.94</v>
      </c>
      <c r="H140" s="3">
        <v>0.08</v>
      </c>
      <c r="I140" s="3">
        <v>8.17</v>
      </c>
      <c r="J140" s="3">
        <v>0.12</v>
      </c>
      <c r="K140" s="3">
        <v>0.23</v>
      </c>
      <c r="L140" s="3">
        <v>0.04</v>
      </c>
      <c r="M140" s="3">
        <v>17.5</v>
      </c>
      <c r="N140" s="3">
        <v>0.14000000000000001</v>
      </c>
      <c r="O140" s="3">
        <v>0.32</v>
      </c>
      <c r="P140" s="3">
        <v>0.01</v>
      </c>
      <c r="Q140" s="3">
        <v>7.18</v>
      </c>
      <c r="R140" s="3">
        <v>0.11</v>
      </c>
      <c r="S140" s="3">
        <v>6.31</v>
      </c>
      <c r="T140" s="3">
        <v>0.06</v>
      </c>
      <c r="U140" s="3">
        <v>2.09</v>
      </c>
      <c r="V140" s="3">
        <v>0.22</v>
      </c>
      <c r="W140" s="3">
        <v>0.55000000000000004</v>
      </c>
      <c r="X140" s="3">
        <v>0.06</v>
      </c>
      <c r="Y140" s="3">
        <v>0.99</v>
      </c>
      <c r="Z140" s="3">
        <v>0.08</v>
      </c>
      <c r="AA140" s="3">
        <v>11.79</v>
      </c>
      <c r="AB140" s="3">
        <v>0.15</v>
      </c>
      <c r="AC140" s="3">
        <v>0.96</v>
      </c>
      <c r="AD140" s="3">
        <v>0.02</v>
      </c>
      <c r="AE140" s="3">
        <v>561</v>
      </c>
      <c r="AF140" s="3">
        <v>57</v>
      </c>
      <c r="AG140" s="3">
        <v>683</v>
      </c>
      <c r="AH140" s="3">
        <v>27</v>
      </c>
      <c r="AI140" s="3">
        <v>199</v>
      </c>
      <c r="AJ140" s="3">
        <v>20</v>
      </c>
    </row>
    <row r="141" spans="1:36" x14ac:dyDescent="0.25">
      <c r="A141" s="7">
        <v>1375</v>
      </c>
      <c r="B141" s="3" t="s">
        <v>6</v>
      </c>
      <c r="C141" s="3" t="s">
        <v>432</v>
      </c>
      <c r="D141" s="3"/>
      <c r="E141" s="3">
        <v>37.200000000000003</v>
      </c>
      <c r="F141" s="3">
        <v>0.34</v>
      </c>
      <c r="G141" s="3">
        <v>0.83</v>
      </c>
      <c r="H141" s="3">
        <v>7.0000000000000007E-2</v>
      </c>
      <c r="I141" s="3">
        <v>6.1</v>
      </c>
      <c r="J141" s="3">
        <v>0.08</v>
      </c>
      <c r="K141" s="3">
        <v>0.19</v>
      </c>
      <c r="L141" s="3">
        <v>0.03</v>
      </c>
      <c r="M141" s="3">
        <v>17.3</v>
      </c>
      <c r="N141" s="3">
        <v>0.11</v>
      </c>
      <c r="O141" s="3">
        <v>0.28999999999999998</v>
      </c>
      <c r="P141" s="3">
        <v>0.01</v>
      </c>
      <c r="Q141" s="3">
        <v>7.27</v>
      </c>
      <c r="R141" s="3">
        <v>0.09</v>
      </c>
      <c r="S141" s="3">
        <v>4.47</v>
      </c>
      <c r="T141" s="3">
        <v>0.04</v>
      </c>
      <c r="U141" s="3">
        <v>1.7</v>
      </c>
      <c r="V141" s="3">
        <v>0.18</v>
      </c>
      <c r="W141" s="3">
        <v>0.57999999999999996</v>
      </c>
      <c r="X141" s="3">
        <v>0.06</v>
      </c>
      <c r="Y141" s="3">
        <v>1.03</v>
      </c>
      <c r="Z141" s="3">
        <v>0.08</v>
      </c>
      <c r="AA141" s="3">
        <v>22.02</v>
      </c>
      <c r="AB141" s="3">
        <v>0.2</v>
      </c>
      <c r="AC141" s="3">
        <v>0.84</v>
      </c>
      <c r="AD141" s="3">
        <v>0.02</v>
      </c>
      <c r="AE141" s="3">
        <v>624</v>
      </c>
      <c r="AF141" s="3">
        <v>45</v>
      </c>
      <c r="AG141" s="3">
        <v>777</v>
      </c>
      <c r="AH141" s="3">
        <v>19</v>
      </c>
      <c r="AI141" s="3">
        <v>113</v>
      </c>
      <c r="AJ141" s="3">
        <v>16</v>
      </c>
    </row>
    <row r="142" spans="1:36" x14ac:dyDescent="0.25">
      <c r="A142" s="7">
        <v>1384</v>
      </c>
      <c r="B142" s="3" t="s">
        <v>4</v>
      </c>
      <c r="C142" s="3" t="s">
        <v>433</v>
      </c>
      <c r="D142" s="3"/>
      <c r="E142" s="3">
        <v>39.200000000000003</v>
      </c>
      <c r="F142" s="3">
        <v>0.35</v>
      </c>
      <c r="G142" s="3">
        <v>0.88</v>
      </c>
      <c r="H142" s="3">
        <v>7.0000000000000007E-2</v>
      </c>
      <c r="I142" s="3">
        <v>7.13</v>
      </c>
      <c r="J142" s="3">
        <v>0.09</v>
      </c>
      <c r="K142" s="3">
        <v>0.2</v>
      </c>
      <c r="L142" s="3">
        <v>0.03</v>
      </c>
      <c r="M142" s="3">
        <v>16.5</v>
      </c>
      <c r="N142" s="3">
        <v>0.11</v>
      </c>
      <c r="O142" s="3">
        <v>0.26</v>
      </c>
      <c r="P142" s="3">
        <v>0.01</v>
      </c>
      <c r="Q142" s="3">
        <v>7.53</v>
      </c>
      <c r="R142" s="3">
        <v>0.09</v>
      </c>
      <c r="S142" s="3">
        <v>5.49</v>
      </c>
      <c r="T142" s="3">
        <v>0.04</v>
      </c>
      <c r="U142" s="3">
        <v>2</v>
      </c>
      <c r="V142" s="3">
        <v>0.18</v>
      </c>
      <c r="W142" s="3">
        <v>0.55000000000000004</v>
      </c>
      <c r="X142" s="3">
        <v>0.06</v>
      </c>
      <c r="Y142" s="3">
        <v>1.03</v>
      </c>
      <c r="Z142" s="3">
        <v>0.08</v>
      </c>
      <c r="AA142" s="3">
        <v>17.96</v>
      </c>
      <c r="AB142" s="3">
        <v>0.17</v>
      </c>
      <c r="AC142" s="3">
        <v>1.1100000000000001</v>
      </c>
      <c r="AD142" s="3">
        <v>0.02</v>
      </c>
      <c r="AE142" s="3">
        <v>544</v>
      </c>
      <c r="AF142" s="3">
        <v>45</v>
      </c>
      <c r="AG142" s="3">
        <v>434</v>
      </c>
      <c r="AH142" s="3">
        <v>15</v>
      </c>
      <c r="AI142" s="3">
        <v>131</v>
      </c>
      <c r="AJ142" s="3">
        <v>16</v>
      </c>
    </row>
    <row r="143" spans="1:36" x14ac:dyDescent="0.25">
      <c r="A143" s="7">
        <v>1388</v>
      </c>
      <c r="B143" s="3" t="s">
        <v>6</v>
      </c>
      <c r="C143" s="3" t="s">
        <v>434</v>
      </c>
      <c r="D143" s="3"/>
      <c r="E143" s="3">
        <v>35.700000000000003</v>
      </c>
      <c r="F143" s="3">
        <v>0.34</v>
      </c>
      <c r="G143" s="3">
        <v>0.84</v>
      </c>
      <c r="H143" s="3">
        <v>7.0000000000000007E-2</v>
      </c>
      <c r="I143" s="3">
        <v>5.8</v>
      </c>
      <c r="J143" s="3">
        <v>0.09</v>
      </c>
      <c r="K143" s="3">
        <v>0.19</v>
      </c>
      <c r="L143" s="3">
        <v>0.03</v>
      </c>
      <c r="M143" s="3">
        <v>17</v>
      </c>
      <c r="N143" s="3">
        <v>0.11</v>
      </c>
      <c r="O143" s="3">
        <v>0.28999999999999998</v>
      </c>
      <c r="P143" s="3">
        <v>0.01</v>
      </c>
      <c r="Q143" s="3">
        <v>7.82</v>
      </c>
      <c r="R143" s="3">
        <v>0.11</v>
      </c>
      <c r="S143" s="3">
        <v>4.28</v>
      </c>
      <c r="T143" s="3">
        <v>0.04</v>
      </c>
      <c r="U143" s="3">
        <v>1.47</v>
      </c>
      <c r="V143" s="3">
        <v>0.24</v>
      </c>
      <c r="W143" s="3">
        <v>0.57999999999999996</v>
      </c>
      <c r="X143" s="3">
        <v>0.06</v>
      </c>
      <c r="Y143" s="3">
        <v>1.04</v>
      </c>
      <c r="Z143" s="3">
        <v>0.08</v>
      </c>
      <c r="AA143" s="3">
        <v>23.41</v>
      </c>
      <c r="AB143" s="3">
        <v>0.21</v>
      </c>
      <c r="AC143" s="3">
        <v>1.43</v>
      </c>
      <c r="AD143" s="3">
        <v>0.02</v>
      </c>
      <c r="AE143" s="3">
        <v>603</v>
      </c>
      <c r="AF143" s="3">
        <v>46</v>
      </c>
      <c r="AG143" s="3">
        <v>455</v>
      </c>
      <c r="AH143" s="3">
        <v>16</v>
      </c>
      <c r="AI143" s="3">
        <v>57</v>
      </c>
      <c r="AJ143" s="3">
        <v>16</v>
      </c>
    </row>
    <row r="144" spans="1:36" x14ac:dyDescent="0.25">
      <c r="A144" s="7">
        <v>1395</v>
      </c>
      <c r="B144" s="3" t="s">
        <v>4</v>
      </c>
      <c r="C144" s="3" t="s">
        <v>435</v>
      </c>
      <c r="D144" s="3"/>
      <c r="E144" s="3">
        <v>40.700000000000003</v>
      </c>
      <c r="F144" s="3">
        <v>0.37</v>
      </c>
      <c r="G144" s="3">
        <v>0.89</v>
      </c>
      <c r="H144" s="3">
        <v>7.0000000000000007E-2</v>
      </c>
      <c r="I144" s="3">
        <v>7.6</v>
      </c>
      <c r="J144" s="3">
        <v>0.09</v>
      </c>
      <c r="K144" s="3">
        <v>0.21</v>
      </c>
      <c r="L144" s="3">
        <v>0.03</v>
      </c>
      <c r="M144" s="3">
        <v>16.7</v>
      </c>
      <c r="N144" s="3">
        <v>0.11</v>
      </c>
      <c r="O144" s="3">
        <v>0.28000000000000003</v>
      </c>
      <c r="P144" s="3">
        <v>0.01</v>
      </c>
      <c r="Q144" s="3">
        <v>7.31</v>
      </c>
      <c r="R144" s="3">
        <v>0.09</v>
      </c>
      <c r="S144" s="3">
        <v>5.76</v>
      </c>
      <c r="T144" s="3">
        <v>0.04</v>
      </c>
      <c r="U144" s="3">
        <v>2.13</v>
      </c>
      <c r="V144" s="3">
        <v>0.18</v>
      </c>
      <c r="W144" s="3">
        <v>0.56999999999999995</v>
      </c>
      <c r="X144" s="3">
        <v>0.06</v>
      </c>
      <c r="Y144" s="3">
        <v>1.03</v>
      </c>
      <c r="Z144" s="3">
        <v>7.0000000000000007E-2</v>
      </c>
      <c r="AA144" s="3">
        <v>15.59</v>
      </c>
      <c r="AB144" s="3">
        <v>0.15</v>
      </c>
      <c r="AC144" s="3">
        <v>1.1000000000000001</v>
      </c>
      <c r="AD144" s="3">
        <v>0.02</v>
      </c>
      <c r="AE144" s="3">
        <v>566</v>
      </c>
      <c r="AF144" s="3">
        <v>44</v>
      </c>
      <c r="AG144" s="3">
        <v>392</v>
      </c>
      <c r="AH144" s="3">
        <v>14</v>
      </c>
      <c r="AI144" s="3">
        <v>196</v>
      </c>
      <c r="AJ144" s="3">
        <v>17</v>
      </c>
    </row>
    <row r="145" spans="1:36" x14ac:dyDescent="0.25">
      <c r="A145" s="7">
        <v>1397</v>
      </c>
      <c r="B145" s="3" t="s">
        <v>4</v>
      </c>
      <c r="C145" s="3" t="s">
        <v>436</v>
      </c>
      <c r="D145" s="3"/>
      <c r="E145" s="3">
        <v>40.799999999999997</v>
      </c>
      <c r="F145" s="3">
        <v>0.36</v>
      </c>
      <c r="G145" s="3">
        <v>0.89</v>
      </c>
      <c r="H145" s="3">
        <v>7.0000000000000007E-2</v>
      </c>
      <c r="I145" s="3">
        <v>7.54</v>
      </c>
      <c r="J145" s="3">
        <v>0.09</v>
      </c>
      <c r="K145" s="3">
        <v>0.18</v>
      </c>
      <c r="L145" s="3">
        <v>0.03</v>
      </c>
      <c r="M145" s="3">
        <v>16.600000000000001</v>
      </c>
      <c r="N145" s="3">
        <v>0.1</v>
      </c>
      <c r="O145" s="3">
        <v>0.27</v>
      </c>
      <c r="P145" s="3">
        <v>0.01</v>
      </c>
      <c r="Q145" s="3">
        <v>7.36</v>
      </c>
      <c r="R145" s="3">
        <v>0.09</v>
      </c>
      <c r="S145" s="3">
        <v>5.64</v>
      </c>
      <c r="T145" s="3">
        <v>0.04</v>
      </c>
      <c r="U145" s="3">
        <v>2.0699999999999998</v>
      </c>
      <c r="V145" s="3">
        <v>0.18</v>
      </c>
      <c r="W145" s="3">
        <v>0.55000000000000004</v>
      </c>
      <c r="X145" s="3">
        <v>0.06</v>
      </c>
      <c r="Y145" s="3">
        <v>1.02</v>
      </c>
      <c r="Z145" s="3">
        <v>7.0000000000000007E-2</v>
      </c>
      <c r="AA145" s="3">
        <v>15.79</v>
      </c>
      <c r="AB145" s="3">
        <v>0.15</v>
      </c>
      <c r="AC145" s="3">
        <v>1.1200000000000001</v>
      </c>
      <c r="AD145" s="3">
        <v>0.02</v>
      </c>
      <c r="AE145" s="3">
        <v>579</v>
      </c>
      <c r="AF145" s="3">
        <v>43</v>
      </c>
      <c r="AG145" s="3">
        <v>427</v>
      </c>
      <c r="AH145" s="3">
        <v>14</v>
      </c>
      <c r="AI145" s="3">
        <v>248</v>
      </c>
      <c r="AJ145" s="3">
        <v>17</v>
      </c>
    </row>
    <row r="146" spans="1:36" x14ac:dyDescent="0.25">
      <c r="A146" s="7">
        <v>1409</v>
      </c>
      <c r="B146" s="3" t="s">
        <v>4</v>
      </c>
      <c r="C146" s="3" t="s">
        <v>437</v>
      </c>
      <c r="D146" s="3"/>
      <c r="E146" s="3">
        <v>39.9</v>
      </c>
      <c r="F146" s="3">
        <v>0.34</v>
      </c>
      <c r="G146" s="3">
        <v>0.81</v>
      </c>
      <c r="H146" s="3">
        <v>7.0000000000000007E-2</v>
      </c>
      <c r="I146" s="3">
        <v>7.3</v>
      </c>
      <c r="J146" s="3">
        <v>0.1</v>
      </c>
      <c r="K146" s="3">
        <v>0.23</v>
      </c>
      <c r="L146" s="3">
        <v>0.04</v>
      </c>
      <c r="M146" s="3">
        <v>16.8</v>
      </c>
      <c r="N146" s="3">
        <v>0.1</v>
      </c>
      <c r="O146" s="3">
        <v>0.32</v>
      </c>
      <c r="P146" s="3">
        <v>0.01</v>
      </c>
      <c r="Q146" s="3">
        <v>7.42</v>
      </c>
      <c r="R146" s="3">
        <v>0.1</v>
      </c>
      <c r="S146" s="3">
        <v>5.75</v>
      </c>
      <c r="T146" s="3">
        <v>0.06</v>
      </c>
      <c r="U146" s="3">
        <v>1.93</v>
      </c>
      <c r="V146" s="3">
        <v>0.22</v>
      </c>
      <c r="W146" s="3">
        <v>0.56000000000000005</v>
      </c>
      <c r="X146" s="3">
        <v>0.06</v>
      </c>
      <c r="Y146" s="3">
        <v>1.05</v>
      </c>
      <c r="Z146" s="3">
        <v>0.09</v>
      </c>
      <c r="AA146" s="3">
        <v>16.690000000000001</v>
      </c>
      <c r="AB146" s="3">
        <v>0.18</v>
      </c>
      <c r="AC146" s="3">
        <v>1.08</v>
      </c>
      <c r="AD146" s="3">
        <v>0.03</v>
      </c>
      <c r="AE146" s="3">
        <v>628</v>
      </c>
      <c r="AF146" s="3">
        <v>61</v>
      </c>
      <c r="AG146" s="3">
        <v>460</v>
      </c>
      <c r="AH146" s="3">
        <v>25</v>
      </c>
      <c r="AI146" s="3">
        <v>206</v>
      </c>
      <c r="AJ146" s="3">
        <v>20</v>
      </c>
    </row>
    <row r="147" spans="1:36" x14ac:dyDescent="0.25">
      <c r="A147" s="7">
        <v>1410</v>
      </c>
      <c r="B147" s="3" t="s">
        <v>4</v>
      </c>
      <c r="C147" s="3" t="s">
        <v>438</v>
      </c>
      <c r="D147" s="3"/>
      <c r="E147" s="3">
        <v>40</v>
      </c>
      <c r="F147" s="3">
        <v>0.43</v>
      </c>
      <c r="G147" s="3">
        <v>0.84</v>
      </c>
      <c r="H147" s="3">
        <v>7.0000000000000007E-2</v>
      </c>
      <c r="I147" s="3">
        <v>7.37</v>
      </c>
      <c r="J147" s="3">
        <v>0.12</v>
      </c>
      <c r="K147" s="3">
        <v>0.19</v>
      </c>
      <c r="L147" s="3">
        <v>0.04</v>
      </c>
      <c r="M147" s="3">
        <v>16.7</v>
      </c>
      <c r="N147" s="3">
        <v>0.14000000000000001</v>
      </c>
      <c r="O147" s="3">
        <v>0.35</v>
      </c>
      <c r="P147" s="3">
        <v>0.02</v>
      </c>
      <c r="Q147" s="3">
        <v>7.36</v>
      </c>
      <c r="R147" s="3">
        <v>0.12</v>
      </c>
      <c r="S147" s="3">
        <v>5.71</v>
      </c>
      <c r="T147" s="3">
        <v>0.06</v>
      </c>
      <c r="U147" s="3">
        <v>1.99</v>
      </c>
      <c r="V147" s="3">
        <v>0.22</v>
      </c>
      <c r="W147" s="3">
        <v>0.56000000000000005</v>
      </c>
      <c r="X147" s="3">
        <v>0.06</v>
      </c>
      <c r="Y147" s="3">
        <v>1.01</v>
      </c>
      <c r="Z147" s="3">
        <v>0.09</v>
      </c>
      <c r="AA147" s="3">
        <v>16.670000000000002</v>
      </c>
      <c r="AB147" s="3">
        <v>0.2</v>
      </c>
      <c r="AC147" s="3">
        <v>1.07</v>
      </c>
      <c r="AD147" s="3">
        <v>0.03</v>
      </c>
      <c r="AE147" s="3">
        <v>540</v>
      </c>
      <c r="AF147" s="3">
        <v>59</v>
      </c>
      <c r="AG147" s="3">
        <v>437</v>
      </c>
      <c r="AH147" s="3">
        <v>24</v>
      </c>
      <c r="AI147" s="3">
        <v>214</v>
      </c>
      <c r="AJ147" s="3">
        <v>21</v>
      </c>
    </row>
    <row r="148" spans="1:36" x14ac:dyDescent="0.25">
      <c r="A148" s="7">
        <v>1411</v>
      </c>
      <c r="B148" s="3" t="s">
        <v>4</v>
      </c>
      <c r="C148" s="3" t="s">
        <v>439</v>
      </c>
      <c r="D148" s="3"/>
      <c r="E148" s="3">
        <v>39.6</v>
      </c>
      <c r="F148" s="3">
        <v>0.43</v>
      </c>
      <c r="G148" s="3">
        <v>0.82</v>
      </c>
      <c r="H148" s="3">
        <v>7.0000000000000007E-2</v>
      </c>
      <c r="I148" s="3">
        <v>7.25</v>
      </c>
      <c r="J148" s="3">
        <v>0.12</v>
      </c>
      <c r="K148" s="3">
        <v>0.18</v>
      </c>
      <c r="L148" s="3">
        <v>0.04</v>
      </c>
      <c r="M148" s="3">
        <v>16.600000000000001</v>
      </c>
      <c r="N148" s="3">
        <v>0.14000000000000001</v>
      </c>
      <c r="O148" s="3">
        <v>0.33</v>
      </c>
      <c r="P148" s="3">
        <v>0.01</v>
      </c>
      <c r="Q148" s="3">
        <v>7.45</v>
      </c>
      <c r="R148" s="3">
        <v>0.12</v>
      </c>
      <c r="S148" s="3">
        <v>5.51</v>
      </c>
      <c r="T148" s="3">
        <v>0.06</v>
      </c>
      <c r="U148" s="3">
        <v>2.0299999999999998</v>
      </c>
      <c r="V148" s="3">
        <v>0.22</v>
      </c>
      <c r="W148" s="3">
        <v>0.56000000000000005</v>
      </c>
      <c r="X148" s="3">
        <v>0.06</v>
      </c>
      <c r="Y148" s="3">
        <v>1.04</v>
      </c>
      <c r="Z148" s="3">
        <v>0.09</v>
      </c>
      <c r="AA148" s="3">
        <v>17.29</v>
      </c>
      <c r="AB148" s="3">
        <v>0.21</v>
      </c>
      <c r="AC148" s="3">
        <v>1.1499999999999999</v>
      </c>
      <c r="AD148" s="3">
        <v>0.03</v>
      </c>
      <c r="AE148" s="3">
        <v>601</v>
      </c>
      <c r="AF148" s="3">
        <v>61</v>
      </c>
      <c r="AG148" s="3">
        <v>405</v>
      </c>
      <c r="AH148" s="3">
        <v>24</v>
      </c>
      <c r="AI148" s="3">
        <v>162</v>
      </c>
      <c r="AJ148" s="3">
        <v>21</v>
      </c>
    </row>
    <row r="149" spans="1:36" x14ac:dyDescent="0.25">
      <c r="A149" s="7">
        <v>1412</v>
      </c>
      <c r="B149" s="3" t="s">
        <v>4</v>
      </c>
      <c r="C149" s="3" t="s">
        <v>440</v>
      </c>
      <c r="D149" s="3"/>
      <c r="E149" s="3">
        <v>39.6</v>
      </c>
      <c r="F149" s="3">
        <v>0.42</v>
      </c>
      <c r="G149" s="3">
        <v>0.81</v>
      </c>
      <c r="H149" s="3">
        <v>0.08</v>
      </c>
      <c r="I149" s="3">
        <v>7.18</v>
      </c>
      <c r="J149" s="3">
        <v>0.12</v>
      </c>
      <c r="K149" s="3">
        <v>0.23</v>
      </c>
      <c r="L149" s="3">
        <v>0.04</v>
      </c>
      <c r="M149" s="3">
        <v>16.7</v>
      </c>
      <c r="N149" s="3">
        <v>0.14000000000000001</v>
      </c>
      <c r="O149" s="3">
        <v>0.32</v>
      </c>
      <c r="P149" s="3">
        <v>0.01</v>
      </c>
      <c r="Q149" s="3">
        <v>7.41</v>
      </c>
      <c r="R149" s="3">
        <v>0.12</v>
      </c>
      <c r="S149" s="3">
        <v>5.46</v>
      </c>
      <c r="T149" s="3">
        <v>0.06</v>
      </c>
      <c r="U149" s="3">
        <v>2.0099999999999998</v>
      </c>
      <c r="V149" s="3">
        <v>0.22</v>
      </c>
      <c r="W149" s="3">
        <v>0.56000000000000005</v>
      </c>
      <c r="X149" s="3">
        <v>0.06</v>
      </c>
      <c r="Y149" s="3">
        <v>1.02</v>
      </c>
      <c r="Z149" s="3">
        <v>0.09</v>
      </c>
      <c r="AA149" s="3">
        <v>17.45</v>
      </c>
      <c r="AB149" s="3">
        <v>0.21</v>
      </c>
      <c r="AC149" s="3">
        <v>1.1399999999999999</v>
      </c>
      <c r="AD149" s="3">
        <v>0.03</v>
      </c>
      <c r="AE149" s="3">
        <v>553</v>
      </c>
      <c r="AF149" s="3">
        <v>58</v>
      </c>
      <c r="AG149" s="3">
        <v>442</v>
      </c>
      <c r="AH149" s="3">
        <v>24</v>
      </c>
      <c r="AI149" s="3">
        <v>165</v>
      </c>
      <c r="AJ149" s="3">
        <v>21</v>
      </c>
    </row>
    <row r="150" spans="1:36" x14ac:dyDescent="0.25">
      <c r="A150" s="7">
        <v>1413</v>
      </c>
      <c r="B150" s="3" t="s">
        <v>4</v>
      </c>
      <c r="C150" s="3" t="s">
        <v>441</v>
      </c>
      <c r="D150" s="3"/>
      <c r="E150" s="3">
        <v>39.5</v>
      </c>
      <c r="F150" s="3">
        <v>0.34</v>
      </c>
      <c r="G150" s="3">
        <v>0.82</v>
      </c>
      <c r="H150" s="3">
        <v>7.0000000000000007E-2</v>
      </c>
      <c r="I150" s="3">
        <v>7.29</v>
      </c>
      <c r="J150" s="3">
        <v>0.1</v>
      </c>
      <c r="K150" s="3">
        <v>0.22</v>
      </c>
      <c r="L150" s="3">
        <v>0.04</v>
      </c>
      <c r="M150" s="3">
        <v>16.7</v>
      </c>
      <c r="N150" s="3">
        <v>0.1</v>
      </c>
      <c r="O150" s="3">
        <v>0.33</v>
      </c>
      <c r="P150" s="3">
        <v>0.01</v>
      </c>
      <c r="Q150" s="3">
        <v>7.4</v>
      </c>
      <c r="R150" s="3">
        <v>0.1</v>
      </c>
      <c r="S150" s="3">
        <v>5.55</v>
      </c>
      <c r="T150" s="3">
        <v>0.06</v>
      </c>
      <c r="U150" s="3">
        <v>2.0099999999999998</v>
      </c>
      <c r="V150" s="3">
        <v>0.21</v>
      </c>
      <c r="W150" s="3">
        <v>0.56999999999999995</v>
      </c>
      <c r="X150" s="3">
        <v>0.06</v>
      </c>
      <c r="Y150" s="3">
        <v>1</v>
      </c>
      <c r="Z150" s="3">
        <v>0.08</v>
      </c>
      <c r="AA150" s="3">
        <v>17.32</v>
      </c>
      <c r="AB150" s="3">
        <v>0.19</v>
      </c>
      <c r="AC150" s="3">
        <v>1.1599999999999999</v>
      </c>
      <c r="AD150" s="3">
        <v>0.03</v>
      </c>
      <c r="AE150" s="3">
        <v>542</v>
      </c>
      <c r="AF150" s="3">
        <v>59</v>
      </c>
      <c r="AG150" s="3">
        <v>439</v>
      </c>
      <c r="AH150" s="3">
        <v>24</v>
      </c>
      <c r="AI150" s="3">
        <v>169</v>
      </c>
      <c r="AJ150" s="3">
        <v>20</v>
      </c>
    </row>
    <row r="151" spans="1:36" x14ac:dyDescent="0.25">
      <c r="A151" s="7">
        <v>1414</v>
      </c>
      <c r="B151" s="3" t="s">
        <v>4</v>
      </c>
      <c r="C151" s="3" t="s">
        <v>442</v>
      </c>
      <c r="D151" s="3"/>
      <c r="E151" s="3">
        <v>41.6</v>
      </c>
      <c r="F151" s="3">
        <v>0.37</v>
      </c>
      <c r="G151" s="3">
        <v>0.88</v>
      </c>
      <c r="H151" s="3">
        <v>0.06</v>
      </c>
      <c r="I151" s="3">
        <v>7.86</v>
      </c>
      <c r="J151" s="3">
        <v>0.1</v>
      </c>
      <c r="K151" s="3">
        <v>0.23</v>
      </c>
      <c r="L151" s="3">
        <v>0.03</v>
      </c>
      <c r="M151" s="3">
        <v>17.2</v>
      </c>
      <c r="N151" s="3">
        <v>0.11</v>
      </c>
      <c r="O151" s="3">
        <v>0.34</v>
      </c>
      <c r="P151" s="3">
        <v>0.01</v>
      </c>
      <c r="Q151" s="3">
        <v>7.24</v>
      </c>
      <c r="R151" s="3">
        <v>0.1</v>
      </c>
      <c r="S151" s="3">
        <v>6.08</v>
      </c>
      <c r="T151" s="3">
        <v>0.04</v>
      </c>
      <c r="U151" s="3">
        <v>2.12</v>
      </c>
      <c r="V151" s="3">
        <v>0.23</v>
      </c>
      <c r="W151" s="3">
        <v>0.54</v>
      </c>
      <c r="X151" s="3">
        <v>0.06</v>
      </c>
      <c r="Y151" s="3">
        <v>0.99</v>
      </c>
      <c r="Z151" s="3">
        <v>7.0000000000000007E-2</v>
      </c>
      <c r="AA151" s="3">
        <v>13.81</v>
      </c>
      <c r="AB151" s="3">
        <v>0.13</v>
      </c>
      <c r="AC151" s="3">
        <v>1.02</v>
      </c>
      <c r="AD151" s="3">
        <v>0.02</v>
      </c>
      <c r="AE151" s="3">
        <v>597</v>
      </c>
      <c r="AF151" s="3">
        <v>42</v>
      </c>
      <c r="AG151" s="3">
        <v>467</v>
      </c>
      <c r="AH151" s="3">
        <v>14</v>
      </c>
      <c r="AI151" s="3">
        <v>151</v>
      </c>
      <c r="AJ151" s="3">
        <v>16</v>
      </c>
    </row>
    <row r="152" spans="1:36" x14ac:dyDescent="0.25">
      <c r="A152" s="7">
        <v>1415</v>
      </c>
      <c r="B152" s="3" t="s">
        <v>4</v>
      </c>
      <c r="C152" s="3" t="s">
        <v>443</v>
      </c>
      <c r="D152" s="3"/>
      <c r="E152" s="3">
        <v>41.6</v>
      </c>
      <c r="F152" s="3">
        <v>0.42</v>
      </c>
      <c r="G152" s="3">
        <v>0.86</v>
      </c>
      <c r="H152" s="3">
        <v>0.08</v>
      </c>
      <c r="I152" s="3">
        <v>7.95</v>
      </c>
      <c r="J152" s="3">
        <v>0.11</v>
      </c>
      <c r="K152" s="3">
        <v>0.21</v>
      </c>
      <c r="L152" s="3">
        <v>0.03</v>
      </c>
      <c r="M152" s="3">
        <v>17.2</v>
      </c>
      <c r="N152" s="3">
        <v>0.13</v>
      </c>
      <c r="O152" s="3">
        <v>0.36</v>
      </c>
      <c r="P152" s="3">
        <v>0.01</v>
      </c>
      <c r="Q152" s="3">
        <v>7.3</v>
      </c>
      <c r="R152" s="3">
        <v>0.11</v>
      </c>
      <c r="S152" s="3">
        <v>6.01</v>
      </c>
      <c r="T152" s="3">
        <v>0.06</v>
      </c>
      <c r="U152" s="3">
        <v>2.17</v>
      </c>
      <c r="V152" s="3">
        <v>0.21</v>
      </c>
      <c r="W152" s="3">
        <v>0.54</v>
      </c>
      <c r="X152" s="3">
        <v>0.06</v>
      </c>
      <c r="Y152" s="3">
        <v>1.02</v>
      </c>
      <c r="Z152" s="3">
        <v>0.08</v>
      </c>
      <c r="AA152" s="3">
        <v>13.65</v>
      </c>
      <c r="AB152" s="3">
        <v>0.16</v>
      </c>
      <c r="AC152" s="3">
        <v>1.02</v>
      </c>
      <c r="AD152" s="3">
        <v>0.02</v>
      </c>
      <c r="AE152" s="3">
        <v>614</v>
      </c>
      <c r="AF152" s="3">
        <v>54</v>
      </c>
      <c r="AG152" s="3">
        <v>499</v>
      </c>
      <c r="AH152" s="3">
        <v>22</v>
      </c>
      <c r="AI152" s="3">
        <v>153</v>
      </c>
      <c r="AJ152" s="3">
        <v>19</v>
      </c>
    </row>
    <row r="153" spans="1:36" x14ac:dyDescent="0.25">
      <c r="A153" s="7">
        <v>1422</v>
      </c>
      <c r="B153" s="3" t="s">
        <v>4</v>
      </c>
      <c r="C153" s="3" t="s">
        <v>444</v>
      </c>
      <c r="D153" s="3"/>
      <c r="E153" s="3">
        <v>40.9</v>
      </c>
      <c r="F153" s="3">
        <v>0.36</v>
      </c>
      <c r="G153" s="3">
        <v>0.89</v>
      </c>
      <c r="H153" s="3">
        <v>7.0000000000000007E-2</v>
      </c>
      <c r="I153" s="3">
        <v>7.77</v>
      </c>
      <c r="J153" s="3">
        <v>0.09</v>
      </c>
      <c r="K153" s="3">
        <v>0.22</v>
      </c>
      <c r="L153" s="3">
        <v>0.03</v>
      </c>
      <c r="M153" s="3">
        <v>16.8</v>
      </c>
      <c r="N153" s="3">
        <v>0.11</v>
      </c>
      <c r="O153" s="3">
        <v>0.37</v>
      </c>
      <c r="P153" s="3">
        <v>0.01</v>
      </c>
      <c r="Q153" s="3">
        <v>7.3</v>
      </c>
      <c r="R153" s="3">
        <v>0.09</v>
      </c>
      <c r="S153" s="3">
        <v>6.3</v>
      </c>
      <c r="T153" s="3">
        <v>0.05</v>
      </c>
      <c r="U153" s="3">
        <v>2.15</v>
      </c>
      <c r="V153" s="3">
        <v>0.18</v>
      </c>
      <c r="W153" s="3">
        <v>0.53</v>
      </c>
      <c r="X153" s="3">
        <v>0.06</v>
      </c>
      <c r="Y153" s="3">
        <v>1</v>
      </c>
      <c r="Z153" s="3">
        <v>7.0000000000000007E-2</v>
      </c>
      <c r="AA153" s="3">
        <v>14.58</v>
      </c>
      <c r="AB153" s="3">
        <v>0.14000000000000001</v>
      </c>
      <c r="AC153" s="3">
        <v>1.07</v>
      </c>
      <c r="AD153" s="3">
        <v>0.02</v>
      </c>
      <c r="AE153" s="3">
        <v>543</v>
      </c>
      <c r="AF153" s="3">
        <v>43</v>
      </c>
      <c r="AG153" s="3">
        <v>499</v>
      </c>
      <c r="AH153" s="3">
        <v>15</v>
      </c>
      <c r="AI153" s="3">
        <v>58</v>
      </c>
      <c r="AJ153" s="3">
        <v>14</v>
      </c>
    </row>
    <row r="154" spans="1:36" x14ac:dyDescent="0.25">
      <c r="A154" s="7">
        <v>1431</v>
      </c>
      <c r="B154" s="3" t="s">
        <v>6</v>
      </c>
      <c r="C154" s="3" t="s">
        <v>445</v>
      </c>
      <c r="D154" s="3"/>
      <c r="E154" s="3">
        <v>35.1</v>
      </c>
      <c r="F154" s="3">
        <v>0.33</v>
      </c>
      <c r="G154" s="3">
        <v>0.78</v>
      </c>
      <c r="H154" s="3">
        <v>0.06</v>
      </c>
      <c r="I154" s="3">
        <v>5.64</v>
      </c>
      <c r="J154" s="3">
        <v>0.08</v>
      </c>
      <c r="K154" s="3">
        <v>0.18</v>
      </c>
      <c r="L154" s="3">
        <v>0.03</v>
      </c>
      <c r="M154" s="3">
        <v>17.8</v>
      </c>
      <c r="N154" s="3">
        <v>0.11</v>
      </c>
      <c r="O154" s="3">
        <v>0.36</v>
      </c>
      <c r="P154" s="3">
        <v>0.01</v>
      </c>
      <c r="Q154" s="3">
        <v>7.49</v>
      </c>
      <c r="R154" s="3">
        <v>0.1</v>
      </c>
      <c r="S154" s="3">
        <v>4.71</v>
      </c>
      <c r="T154" s="3">
        <v>0.04</v>
      </c>
      <c r="U154" s="3">
        <v>1.6</v>
      </c>
      <c r="V154" s="3">
        <v>0.22</v>
      </c>
      <c r="W154" s="3">
        <v>0.55000000000000004</v>
      </c>
      <c r="X154" s="3">
        <v>0.06</v>
      </c>
      <c r="Y154" s="3">
        <v>0.99</v>
      </c>
      <c r="Z154" s="3">
        <v>0.08</v>
      </c>
      <c r="AA154" s="3">
        <v>22.95</v>
      </c>
      <c r="AB154" s="3">
        <v>0.21</v>
      </c>
      <c r="AC154" s="3">
        <v>1.7</v>
      </c>
      <c r="AD154" s="3">
        <v>0.02</v>
      </c>
      <c r="AE154" s="3">
        <v>632</v>
      </c>
      <c r="AF154" s="3">
        <v>46</v>
      </c>
      <c r="AG154" s="3">
        <v>549</v>
      </c>
      <c r="AH154" s="3">
        <v>16</v>
      </c>
      <c r="AI154" s="3">
        <v>35</v>
      </c>
      <c r="AJ154" s="3">
        <v>15</v>
      </c>
    </row>
    <row r="155" spans="1:36" x14ac:dyDescent="0.25">
      <c r="A155" s="7">
        <v>1444</v>
      </c>
      <c r="B155" s="3" t="s">
        <v>4</v>
      </c>
      <c r="C155" s="3" t="s">
        <v>446</v>
      </c>
      <c r="D155" s="3"/>
      <c r="E155" s="3">
        <v>41.6</v>
      </c>
      <c r="F155" s="3">
        <v>0.43</v>
      </c>
      <c r="G155" s="3">
        <v>0.93</v>
      </c>
      <c r="H155" s="3">
        <v>0.08</v>
      </c>
      <c r="I155" s="3">
        <v>7.92</v>
      </c>
      <c r="J155" s="3">
        <v>0.12</v>
      </c>
      <c r="K155" s="3">
        <v>0.21</v>
      </c>
      <c r="L155" s="3">
        <v>0.03</v>
      </c>
      <c r="M155" s="3">
        <v>17.2</v>
      </c>
      <c r="N155" s="3">
        <v>0.14000000000000001</v>
      </c>
      <c r="O155" s="3">
        <v>0.33</v>
      </c>
      <c r="P155" s="3">
        <v>0.01</v>
      </c>
      <c r="Q155" s="3">
        <v>7.13</v>
      </c>
      <c r="R155" s="3">
        <v>0.11</v>
      </c>
      <c r="S155" s="3">
        <v>6.36</v>
      </c>
      <c r="T155" s="3">
        <v>0.06</v>
      </c>
      <c r="U155" s="3">
        <v>2.09</v>
      </c>
      <c r="V155" s="3">
        <v>0.21</v>
      </c>
      <c r="W155" s="3">
        <v>0.53</v>
      </c>
      <c r="X155" s="3">
        <v>0.06</v>
      </c>
      <c r="Y155" s="3">
        <v>0.96</v>
      </c>
      <c r="Z155" s="3">
        <v>0.08</v>
      </c>
      <c r="AA155" s="3">
        <v>13.49</v>
      </c>
      <c r="AB155" s="3">
        <v>0.17</v>
      </c>
      <c r="AC155" s="3">
        <v>1.1200000000000001</v>
      </c>
      <c r="AD155" s="3">
        <v>0.02</v>
      </c>
      <c r="AE155" s="3">
        <v>537</v>
      </c>
      <c r="AF155" s="3">
        <v>56</v>
      </c>
      <c r="AG155" s="3">
        <v>488</v>
      </c>
      <c r="AH155" s="3">
        <v>23</v>
      </c>
      <c r="AI155" s="3">
        <v>61</v>
      </c>
      <c r="AJ155" s="3">
        <v>18</v>
      </c>
    </row>
    <row r="156" spans="1:36" x14ac:dyDescent="0.25">
      <c r="A156" s="7">
        <v>1445</v>
      </c>
      <c r="B156" s="3" t="s">
        <v>4</v>
      </c>
      <c r="C156" s="3" t="s">
        <v>447</v>
      </c>
      <c r="D156" s="3"/>
      <c r="E156" s="3">
        <v>41.4</v>
      </c>
      <c r="F156" s="3">
        <v>0.39</v>
      </c>
      <c r="G156" s="3">
        <v>0.91</v>
      </c>
      <c r="H156" s="3">
        <v>7.0000000000000007E-2</v>
      </c>
      <c r="I156" s="3">
        <v>8.01</v>
      </c>
      <c r="J156" s="3">
        <v>0.1</v>
      </c>
      <c r="K156" s="3">
        <v>0.21</v>
      </c>
      <c r="L156" s="3">
        <v>0.03</v>
      </c>
      <c r="M156" s="3">
        <v>17.2</v>
      </c>
      <c r="N156" s="3">
        <v>0.11</v>
      </c>
      <c r="O156" s="3">
        <v>0.34</v>
      </c>
      <c r="P156" s="3">
        <v>0.01</v>
      </c>
      <c r="Q156" s="3">
        <v>7.22</v>
      </c>
      <c r="R156" s="3">
        <v>0.1</v>
      </c>
      <c r="S156" s="3">
        <v>6.33</v>
      </c>
      <c r="T156" s="3">
        <v>0.06</v>
      </c>
      <c r="U156" s="3">
        <v>2.16</v>
      </c>
      <c r="V156" s="3">
        <v>0.19</v>
      </c>
      <c r="W156" s="3">
        <v>0.55000000000000004</v>
      </c>
      <c r="X156" s="3">
        <v>0.06</v>
      </c>
      <c r="Y156" s="3">
        <v>1</v>
      </c>
      <c r="Z156" s="3">
        <v>0.08</v>
      </c>
      <c r="AA156" s="3">
        <v>13.48</v>
      </c>
      <c r="AB156" s="3">
        <v>0.16</v>
      </c>
      <c r="AC156" s="3">
        <v>1.1000000000000001</v>
      </c>
      <c r="AD156" s="3">
        <v>0.02</v>
      </c>
      <c r="AE156" s="3">
        <v>544</v>
      </c>
      <c r="AF156" s="3">
        <v>58</v>
      </c>
      <c r="AG156" s="3">
        <v>495</v>
      </c>
      <c r="AH156" s="3">
        <v>24</v>
      </c>
      <c r="AI156" s="3">
        <v>54</v>
      </c>
      <c r="AJ156" s="3">
        <v>17</v>
      </c>
    </row>
    <row r="157" spans="1:36" x14ac:dyDescent="0.25">
      <c r="A157" s="7">
        <v>1456</v>
      </c>
      <c r="B157" s="3" t="s">
        <v>4</v>
      </c>
      <c r="C157" s="3" t="s">
        <v>448</v>
      </c>
      <c r="D157" s="3"/>
      <c r="E157" s="3">
        <v>43.3</v>
      </c>
      <c r="F157" s="3">
        <v>0.54</v>
      </c>
      <c r="G157" s="3">
        <v>0.87</v>
      </c>
      <c r="H157" s="3">
        <v>0.09</v>
      </c>
      <c r="I157" s="3">
        <v>8.42</v>
      </c>
      <c r="J157" s="3">
        <v>0.18</v>
      </c>
      <c r="K157" s="3">
        <v>0.3</v>
      </c>
      <c r="L157" s="3">
        <v>0.04</v>
      </c>
      <c r="M157" s="3">
        <v>17.600000000000001</v>
      </c>
      <c r="N157" s="3">
        <v>0.18</v>
      </c>
      <c r="O157" s="3">
        <v>0.37</v>
      </c>
      <c r="P157" s="3">
        <v>0.02</v>
      </c>
      <c r="Q157" s="3">
        <v>7.24</v>
      </c>
      <c r="R157" s="3">
        <v>0.19</v>
      </c>
      <c r="S157" s="3">
        <v>6.65</v>
      </c>
      <c r="T157" s="3">
        <v>0.09</v>
      </c>
      <c r="U157" s="3">
        <v>2.14</v>
      </c>
      <c r="V157" s="3">
        <v>0.36</v>
      </c>
      <c r="W157" s="3">
        <v>0.51</v>
      </c>
      <c r="X157" s="3">
        <v>7.0000000000000007E-2</v>
      </c>
      <c r="Y157" s="3">
        <v>0.96</v>
      </c>
      <c r="Z157" s="3">
        <v>0.1</v>
      </c>
      <c r="AA157" s="3">
        <v>10.5</v>
      </c>
      <c r="AB157" s="3">
        <v>0.18</v>
      </c>
      <c r="AC157" s="3">
        <v>1.04</v>
      </c>
      <c r="AD157" s="3">
        <v>0.03</v>
      </c>
      <c r="AE157" s="3">
        <v>446</v>
      </c>
      <c r="AF157" s="3">
        <v>73</v>
      </c>
      <c r="AG157" s="3">
        <v>450</v>
      </c>
      <c r="AH157" s="3">
        <v>34</v>
      </c>
      <c r="AI157" s="3">
        <v>46</v>
      </c>
      <c r="AJ157" s="3">
        <v>21</v>
      </c>
    </row>
    <row r="158" spans="1:36" x14ac:dyDescent="0.25">
      <c r="A158" s="7">
        <v>1457</v>
      </c>
      <c r="B158" s="3" t="s">
        <v>4</v>
      </c>
      <c r="C158" s="3" t="s">
        <v>449</v>
      </c>
      <c r="D158" s="3"/>
      <c r="E158" s="3">
        <v>42.9</v>
      </c>
      <c r="F158" s="3">
        <v>0.33</v>
      </c>
      <c r="G158" s="3">
        <v>0.92</v>
      </c>
      <c r="H158" s="3">
        <v>7.0000000000000007E-2</v>
      </c>
      <c r="I158" s="3">
        <v>8.31</v>
      </c>
      <c r="J158" s="3">
        <v>0.1</v>
      </c>
      <c r="K158" s="3">
        <v>0.32</v>
      </c>
      <c r="L158" s="3">
        <v>0.04</v>
      </c>
      <c r="M158" s="3">
        <v>20.2</v>
      </c>
      <c r="N158" s="3">
        <v>0.11</v>
      </c>
      <c r="O158" s="3">
        <v>0.45</v>
      </c>
      <c r="P158" s="3">
        <v>0.01</v>
      </c>
      <c r="Q158" s="3">
        <v>6.86</v>
      </c>
      <c r="R158" s="3">
        <v>0.1</v>
      </c>
      <c r="S158" s="3">
        <v>6.48</v>
      </c>
      <c r="T158" s="3">
        <v>0.06</v>
      </c>
      <c r="U158" s="3">
        <v>2.29</v>
      </c>
      <c r="V158" s="3">
        <v>0.21</v>
      </c>
      <c r="W158" s="3">
        <v>0.51</v>
      </c>
      <c r="X158" s="3">
        <v>0.06</v>
      </c>
      <c r="Y158" s="3">
        <v>0.93</v>
      </c>
      <c r="Z158" s="3">
        <v>0.08</v>
      </c>
      <c r="AA158" s="3">
        <v>8.4499999999999993</v>
      </c>
      <c r="AB158" s="3">
        <v>0.11</v>
      </c>
      <c r="AC158" s="3">
        <v>1.19</v>
      </c>
      <c r="AD158" s="3">
        <v>0.02</v>
      </c>
      <c r="AE158" s="3">
        <v>472</v>
      </c>
      <c r="AF158" s="3">
        <v>57</v>
      </c>
      <c r="AG158" s="3">
        <v>376</v>
      </c>
      <c r="AH158" s="3">
        <v>22</v>
      </c>
      <c r="AI158" s="3">
        <v>181</v>
      </c>
      <c r="AJ158" s="3">
        <v>20</v>
      </c>
    </row>
    <row r="159" spans="1:36" x14ac:dyDescent="0.25">
      <c r="A159" s="7">
        <v>1463</v>
      </c>
      <c r="B159" s="3" t="s">
        <v>4</v>
      </c>
      <c r="C159" s="3" t="s">
        <v>450</v>
      </c>
      <c r="D159" s="3"/>
      <c r="E159" s="3">
        <v>39.5</v>
      </c>
      <c r="F159" s="3">
        <v>0.41</v>
      </c>
      <c r="G159" s="3">
        <v>0.79</v>
      </c>
      <c r="H159" s="3">
        <v>7.0000000000000007E-2</v>
      </c>
      <c r="I159" s="3">
        <v>7.42</v>
      </c>
      <c r="J159" s="3">
        <v>0.11</v>
      </c>
      <c r="K159" s="3">
        <v>0.3</v>
      </c>
      <c r="L159" s="3">
        <v>0.04</v>
      </c>
      <c r="M159" s="3">
        <v>26.2</v>
      </c>
      <c r="N159" s="3">
        <v>0.18</v>
      </c>
      <c r="O159" s="3">
        <v>0.59</v>
      </c>
      <c r="P159" s="3">
        <v>0.02</v>
      </c>
      <c r="Q159" s="3">
        <v>6.42</v>
      </c>
      <c r="R159" s="3">
        <v>0.1</v>
      </c>
      <c r="S159" s="3">
        <v>5.2</v>
      </c>
      <c r="T159" s="3">
        <v>0.05</v>
      </c>
      <c r="U159" s="3">
        <v>2.6</v>
      </c>
      <c r="V159" s="3">
        <v>0.2</v>
      </c>
      <c r="W159" s="3">
        <v>0.45</v>
      </c>
      <c r="X159" s="3">
        <v>0.06</v>
      </c>
      <c r="Y159" s="3">
        <v>0.89</v>
      </c>
      <c r="Z159" s="3">
        <v>0.08</v>
      </c>
      <c r="AA159" s="3">
        <v>7.31</v>
      </c>
      <c r="AB159" s="3">
        <v>0.11</v>
      </c>
      <c r="AC159" s="3">
        <v>2.13</v>
      </c>
      <c r="AD159" s="3">
        <v>0.03</v>
      </c>
      <c r="AE159" s="3">
        <v>810</v>
      </c>
      <c r="AF159" s="3">
        <v>65</v>
      </c>
      <c r="AG159" s="3">
        <v>435</v>
      </c>
      <c r="AH159" s="3">
        <v>23</v>
      </c>
      <c r="AI159" s="3">
        <v>282</v>
      </c>
      <c r="AJ159" s="3">
        <v>23</v>
      </c>
    </row>
    <row r="160" spans="1:36" x14ac:dyDescent="0.25">
      <c r="A160" s="7">
        <v>1481</v>
      </c>
      <c r="B160" s="3" t="s">
        <v>6</v>
      </c>
      <c r="C160" s="3" t="s">
        <v>451</v>
      </c>
      <c r="D160" s="3"/>
      <c r="E160" s="3">
        <v>40.700000000000003</v>
      </c>
      <c r="F160" s="3">
        <v>0.35</v>
      </c>
      <c r="G160" s="3">
        <v>0.9</v>
      </c>
      <c r="H160" s="3">
        <v>7.0000000000000007E-2</v>
      </c>
      <c r="I160" s="3">
        <v>6.68</v>
      </c>
      <c r="J160" s="3">
        <v>0.09</v>
      </c>
      <c r="K160" s="3">
        <v>0.22</v>
      </c>
      <c r="L160" s="3">
        <v>0.03</v>
      </c>
      <c r="M160" s="3">
        <v>18.2</v>
      </c>
      <c r="N160" s="3">
        <v>0.1</v>
      </c>
      <c r="O160" s="3">
        <v>0.34</v>
      </c>
      <c r="P160" s="3">
        <v>0.01</v>
      </c>
      <c r="Q160" s="3">
        <v>5.99</v>
      </c>
      <c r="R160" s="3">
        <v>0.09</v>
      </c>
      <c r="S160" s="3">
        <v>4.46</v>
      </c>
      <c r="T160" s="3">
        <v>0.04</v>
      </c>
      <c r="U160" s="3">
        <v>1.94</v>
      </c>
      <c r="V160" s="3">
        <v>0.2</v>
      </c>
      <c r="W160" s="3">
        <v>0.63</v>
      </c>
      <c r="X160" s="3">
        <v>0.06</v>
      </c>
      <c r="Y160" s="3">
        <v>1.07</v>
      </c>
      <c r="Z160" s="3">
        <v>0.08</v>
      </c>
      <c r="AA160" s="3">
        <v>17.38</v>
      </c>
      <c r="AB160" s="3">
        <v>0.19</v>
      </c>
      <c r="AC160" s="3">
        <v>1.41</v>
      </c>
      <c r="AD160" s="3">
        <v>0.03</v>
      </c>
      <c r="AE160" s="3">
        <v>520</v>
      </c>
      <c r="AF160" s="3">
        <v>56</v>
      </c>
      <c r="AG160" s="3">
        <v>553</v>
      </c>
      <c r="AH160" s="3">
        <v>24</v>
      </c>
      <c r="AI160" s="3">
        <v>23</v>
      </c>
      <c r="AJ160" s="3">
        <v>16</v>
      </c>
    </row>
    <row r="161" spans="1:36" x14ac:dyDescent="0.25">
      <c r="A161" s="7">
        <v>1647</v>
      </c>
      <c r="B161" s="3" t="s">
        <v>3</v>
      </c>
      <c r="C161" s="3" t="s">
        <v>452</v>
      </c>
      <c r="D161" s="3"/>
      <c r="E161" s="3">
        <v>39.6</v>
      </c>
      <c r="F161" s="3">
        <v>0.34</v>
      </c>
      <c r="G161" s="3">
        <v>0.81</v>
      </c>
      <c r="H161" s="3">
        <v>0.06</v>
      </c>
      <c r="I161" s="3">
        <v>7.67</v>
      </c>
      <c r="J161" s="3">
        <v>0.1</v>
      </c>
      <c r="K161" s="3">
        <v>0.28000000000000003</v>
      </c>
      <c r="L161" s="3">
        <v>0.03</v>
      </c>
      <c r="M161" s="3">
        <v>27</v>
      </c>
      <c r="N161" s="3">
        <v>0.15</v>
      </c>
      <c r="O161" s="3">
        <v>0.28000000000000003</v>
      </c>
      <c r="P161" s="3">
        <v>0.01</v>
      </c>
      <c r="Q161" s="3">
        <v>6.65</v>
      </c>
      <c r="R161" s="3">
        <v>0.08</v>
      </c>
      <c r="S161" s="3">
        <v>5.85</v>
      </c>
      <c r="T161" s="3">
        <v>0.04</v>
      </c>
      <c r="U161" s="3">
        <v>2.2200000000000002</v>
      </c>
      <c r="V161" s="3">
        <v>0.17</v>
      </c>
      <c r="W161" s="3">
        <v>0.41</v>
      </c>
      <c r="X161" s="3">
        <v>0.06</v>
      </c>
      <c r="Y161" s="3">
        <v>0.91</v>
      </c>
      <c r="Z161" s="3">
        <v>7.0000000000000007E-2</v>
      </c>
      <c r="AA161" s="3">
        <v>7.3</v>
      </c>
      <c r="AB161" s="3">
        <v>0.08</v>
      </c>
      <c r="AC161" s="3">
        <v>0.84</v>
      </c>
      <c r="AD161" s="3">
        <v>0.01</v>
      </c>
      <c r="AE161" s="3">
        <v>702</v>
      </c>
      <c r="AF161" s="3">
        <v>44</v>
      </c>
      <c r="AG161" s="3">
        <v>413</v>
      </c>
      <c r="AH161" s="3">
        <v>13</v>
      </c>
      <c r="AI161" s="3">
        <v>100</v>
      </c>
      <c r="AJ161" s="3">
        <v>15</v>
      </c>
    </row>
    <row r="162" spans="1:36" x14ac:dyDescent="0.25">
      <c r="A162" s="7">
        <v>1745</v>
      </c>
      <c r="B162" s="3" t="s">
        <v>96</v>
      </c>
      <c r="C162" s="3" t="s">
        <v>453</v>
      </c>
      <c r="D162" s="3"/>
      <c r="E162" s="3">
        <v>44.1</v>
      </c>
      <c r="F162" s="3">
        <v>0.42</v>
      </c>
      <c r="G162" s="3">
        <v>0.31</v>
      </c>
      <c r="H162" s="3">
        <v>0.06</v>
      </c>
      <c r="I162" s="3">
        <v>4.43</v>
      </c>
      <c r="J162" s="3">
        <v>0.1</v>
      </c>
      <c r="K162" s="3">
        <v>0.61</v>
      </c>
      <c r="L162" s="3">
        <v>0.04</v>
      </c>
      <c r="M162" s="3">
        <v>22.1</v>
      </c>
      <c r="N162" s="3">
        <v>0.14000000000000001</v>
      </c>
      <c r="O162" s="3">
        <v>0.37</v>
      </c>
      <c r="P162" s="3">
        <v>0.01</v>
      </c>
      <c r="Q162" s="3">
        <v>17.79</v>
      </c>
      <c r="R162" s="3">
        <v>0.19</v>
      </c>
      <c r="S162" s="3">
        <v>3.26</v>
      </c>
      <c r="T162" s="3">
        <v>0.03</v>
      </c>
      <c r="U162" s="3">
        <v>1.5</v>
      </c>
      <c r="V162" s="3">
        <v>0.33</v>
      </c>
      <c r="W162" s="3">
        <v>0.14000000000000001</v>
      </c>
      <c r="X162" s="3">
        <v>0.05</v>
      </c>
      <c r="Y162" s="3">
        <v>0.59</v>
      </c>
      <c r="Z162" s="3">
        <v>7.0000000000000007E-2</v>
      </c>
      <c r="AA162" s="3">
        <v>3.88</v>
      </c>
      <c r="AB162" s="3">
        <v>0.06</v>
      </c>
      <c r="AC162" s="3">
        <v>0.53</v>
      </c>
      <c r="AD162" s="3">
        <v>0.01</v>
      </c>
      <c r="AE162" s="3">
        <v>3255</v>
      </c>
      <c r="AF162" s="3">
        <v>76</v>
      </c>
      <c r="AG162" s="3">
        <v>128</v>
      </c>
      <c r="AH162" s="3">
        <v>12</v>
      </c>
      <c r="AI162" s="3">
        <v>22</v>
      </c>
      <c r="AJ162" s="3">
        <v>15</v>
      </c>
    </row>
    <row r="163" spans="1:36" x14ac:dyDescent="0.25">
      <c r="A163" s="7">
        <v>1747</v>
      </c>
      <c r="B163" s="3" t="s">
        <v>96</v>
      </c>
      <c r="C163" s="3" t="s">
        <v>454</v>
      </c>
      <c r="D163" s="3"/>
      <c r="E163" s="3">
        <v>44.7</v>
      </c>
      <c r="F163" s="3">
        <v>0.5</v>
      </c>
      <c r="G163" s="3">
        <v>0.23</v>
      </c>
      <c r="H163" s="3">
        <v>0.06</v>
      </c>
      <c r="I163" s="3">
        <v>3.93</v>
      </c>
      <c r="J163" s="3">
        <v>0.09</v>
      </c>
      <c r="K163" s="3">
        <v>0.62</v>
      </c>
      <c r="L163" s="3">
        <v>0.04</v>
      </c>
      <c r="M163" s="3">
        <v>20.9</v>
      </c>
      <c r="N163" s="3">
        <v>0.14000000000000001</v>
      </c>
      <c r="O163" s="3">
        <v>0.39</v>
      </c>
      <c r="P163" s="3">
        <v>0.01</v>
      </c>
      <c r="Q163" s="3">
        <v>19.670000000000002</v>
      </c>
      <c r="R163" s="3">
        <v>0.21</v>
      </c>
      <c r="S163" s="3">
        <v>2.92</v>
      </c>
      <c r="T163" s="3">
        <v>0.03</v>
      </c>
      <c r="U163" s="3">
        <v>1.43</v>
      </c>
      <c r="V163" s="3">
        <v>0.36</v>
      </c>
      <c r="W163" s="3">
        <v>0.11</v>
      </c>
      <c r="X163" s="3">
        <v>0.05</v>
      </c>
      <c r="Y163" s="3">
        <v>0.54</v>
      </c>
      <c r="Z163" s="3">
        <v>7.0000000000000007E-2</v>
      </c>
      <c r="AA163" s="3">
        <v>3.4</v>
      </c>
      <c r="AB163" s="3">
        <v>0.06</v>
      </c>
      <c r="AC163" s="3">
        <v>0.51</v>
      </c>
      <c r="AD163" s="3">
        <v>0.01</v>
      </c>
      <c r="AE163" s="3">
        <v>4979</v>
      </c>
      <c r="AF163" s="3">
        <v>91</v>
      </c>
      <c r="AG163" s="3">
        <v>120</v>
      </c>
      <c r="AH163" s="3">
        <v>12</v>
      </c>
      <c r="AI163" s="3">
        <v>20</v>
      </c>
      <c r="AJ163" s="3">
        <v>15</v>
      </c>
    </row>
    <row r="164" spans="1:36" x14ac:dyDescent="0.25">
      <c r="A164" s="7">
        <v>1754</v>
      </c>
      <c r="B164" s="3" t="s">
        <v>4</v>
      </c>
      <c r="C164" s="3" t="s">
        <v>455</v>
      </c>
      <c r="D164" s="3"/>
      <c r="E164" s="3">
        <v>42.2</v>
      </c>
      <c r="F164" s="3">
        <v>0.38</v>
      </c>
      <c r="G164" s="3">
        <v>0.89</v>
      </c>
      <c r="H164" s="3">
        <v>7.0000000000000007E-2</v>
      </c>
      <c r="I164" s="3">
        <v>8.1</v>
      </c>
      <c r="J164" s="3">
        <v>0.1</v>
      </c>
      <c r="K164" s="3">
        <v>0.23</v>
      </c>
      <c r="L164" s="3">
        <v>0.03</v>
      </c>
      <c r="M164" s="3">
        <v>16.5</v>
      </c>
      <c r="N164" s="3">
        <v>0.11</v>
      </c>
      <c r="O164" s="3">
        <v>0.28999999999999998</v>
      </c>
      <c r="P164" s="3">
        <v>0.01</v>
      </c>
      <c r="Q164" s="3">
        <v>7.39</v>
      </c>
      <c r="R164" s="3">
        <v>0.09</v>
      </c>
      <c r="S164" s="3">
        <v>6.06</v>
      </c>
      <c r="T164" s="3">
        <v>0.05</v>
      </c>
      <c r="U164" s="3">
        <v>2.12</v>
      </c>
      <c r="V164" s="3">
        <v>0.19</v>
      </c>
      <c r="W164" s="3">
        <v>0.53</v>
      </c>
      <c r="X164" s="3">
        <v>0.06</v>
      </c>
      <c r="Y164" s="3">
        <v>1.03</v>
      </c>
      <c r="Z164" s="3">
        <v>0.08</v>
      </c>
      <c r="AA164" s="3">
        <v>13.64</v>
      </c>
      <c r="AB164" s="3">
        <v>0.14000000000000001</v>
      </c>
      <c r="AC164" s="3">
        <v>0.88</v>
      </c>
      <c r="AD164" s="3">
        <v>0.02</v>
      </c>
      <c r="AE164" s="3">
        <v>520</v>
      </c>
      <c r="AF164" s="3">
        <v>45</v>
      </c>
      <c r="AG164" s="3">
        <v>496</v>
      </c>
      <c r="AH164" s="3">
        <v>16</v>
      </c>
      <c r="AI164" s="3">
        <v>97</v>
      </c>
      <c r="AJ164" s="3">
        <v>16</v>
      </c>
    </row>
    <row r="165" spans="1:36" x14ac:dyDescent="0.25">
      <c r="A165" s="7">
        <v>1755</v>
      </c>
      <c r="B165" s="3" t="s">
        <v>3</v>
      </c>
      <c r="C165" s="3" t="s">
        <v>456</v>
      </c>
      <c r="D165" s="3"/>
      <c r="E165" s="3">
        <v>39.299999999999997</v>
      </c>
      <c r="F165" s="3">
        <v>0.44</v>
      </c>
      <c r="G165" s="3">
        <v>0.74</v>
      </c>
      <c r="H165" s="3">
        <v>7.0000000000000007E-2</v>
      </c>
      <c r="I165" s="3">
        <v>7.73</v>
      </c>
      <c r="J165" s="3">
        <v>0.23</v>
      </c>
      <c r="K165" s="3">
        <v>0.3</v>
      </c>
      <c r="L165" s="3">
        <v>0.04</v>
      </c>
      <c r="M165" s="3">
        <v>30.4</v>
      </c>
      <c r="N165" s="3">
        <v>0.22</v>
      </c>
      <c r="O165" s="3">
        <v>0.28999999999999998</v>
      </c>
      <c r="P165" s="3">
        <v>0.02</v>
      </c>
      <c r="Q165" s="3">
        <v>6.6</v>
      </c>
      <c r="R165" s="3">
        <v>0.15</v>
      </c>
      <c r="S165" s="3">
        <v>5.41</v>
      </c>
      <c r="T165" s="3">
        <v>0.06</v>
      </c>
      <c r="U165" s="3">
        <v>2.13</v>
      </c>
      <c r="V165" s="3">
        <v>0.25</v>
      </c>
      <c r="W165" s="3">
        <v>0.37</v>
      </c>
      <c r="X165" s="3">
        <v>0.06</v>
      </c>
      <c r="Y165" s="3">
        <v>0.81</v>
      </c>
      <c r="Z165" s="3">
        <v>0.09</v>
      </c>
      <c r="AA165" s="3">
        <v>5.0999999999999996</v>
      </c>
      <c r="AB165" s="3">
        <v>0.1</v>
      </c>
      <c r="AC165" s="3">
        <v>0.66</v>
      </c>
      <c r="AD165" s="3">
        <v>0.02</v>
      </c>
      <c r="AE165" s="3">
        <v>800</v>
      </c>
      <c r="AF165" s="3">
        <v>72</v>
      </c>
      <c r="AG165" s="3">
        <v>385</v>
      </c>
      <c r="AH165" s="3">
        <v>26</v>
      </c>
      <c r="AI165" s="3">
        <v>52</v>
      </c>
      <c r="AJ165" s="3">
        <v>22</v>
      </c>
    </row>
    <row r="166" spans="1:36" x14ac:dyDescent="0.25">
      <c r="A166" s="7">
        <v>1826</v>
      </c>
      <c r="B166" s="3" t="s">
        <v>4</v>
      </c>
      <c r="C166" s="3" t="s">
        <v>457</v>
      </c>
      <c r="D166" s="3"/>
      <c r="E166" s="3">
        <v>42.2</v>
      </c>
      <c r="F166" s="3">
        <v>0.38</v>
      </c>
      <c r="G166" s="3">
        <v>0.87</v>
      </c>
      <c r="H166" s="3">
        <v>7.0000000000000007E-2</v>
      </c>
      <c r="I166" s="3">
        <v>8.1</v>
      </c>
      <c r="J166" s="3">
        <v>0.1</v>
      </c>
      <c r="K166" s="3">
        <v>0.21</v>
      </c>
      <c r="L166" s="3">
        <v>0.03</v>
      </c>
      <c r="M166" s="3">
        <v>18.2</v>
      </c>
      <c r="N166" s="3">
        <v>0.11</v>
      </c>
      <c r="O166" s="3">
        <v>0.28000000000000003</v>
      </c>
      <c r="P166" s="3">
        <v>0.01</v>
      </c>
      <c r="Q166" s="3">
        <v>6.96</v>
      </c>
      <c r="R166" s="3">
        <v>0.09</v>
      </c>
      <c r="S166" s="3">
        <v>6</v>
      </c>
      <c r="T166" s="3">
        <v>0.04</v>
      </c>
      <c r="U166" s="3">
        <v>2.11</v>
      </c>
      <c r="V166" s="3">
        <v>0.19</v>
      </c>
      <c r="W166" s="3">
        <v>0.53</v>
      </c>
      <c r="X166" s="3">
        <v>0.06</v>
      </c>
      <c r="Y166" s="3">
        <v>1</v>
      </c>
      <c r="Z166" s="3">
        <v>7.0000000000000007E-2</v>
      </c>
      <c r="AA166" s="3">
        <v>12.42</v>
      </c>
      <c r="AB166" s="3">
        <v>0.12</v>
      </c>
      <c r="AC166" s="3">
        <v>0.96</v>
      </c>
      <c r="AD166" s="3">
        <v>0.02</v>
      </c>
      <c r="AE166" s="3">
        <v>541</v>
      </c>
      <c r="AF166" s="3">
        <v>44</v>
      </c>
      <c r="AG166" s="3">
        <v>527</v>
      </c>
      <c r="AH166" s="3">
        <v>16</v>
      </c>
      <c r="AI166" s="3">
        <v>63</v>
      </c>
      <c r="AJ166" s="3">
        <v>16</v>
      </c>
    </row>
    <row r="167" spans="1:36" x14ac:dyDescent="0.25">
      <c r="A167" s="7">
        <v>1836</v>
      </c>
      <c r="B167" s="3" t="s">
        <v>5</v>
      </c>
      <c r="C167" s="3" t="s">
        <v>458</v>
      </c>
      <c r="D167" s="3"/>
      <c r="E167" s="3">
        <v>40.200000000000003</v>
      </c>
      <c r="F167" s="3">
        <v>0.48</v>
      </c>
      <c r="G167" s="3">
        <v>0.86</v>
      </c>
      <c r="H167" s="3">
        <v>0.08</v>
      </c>
      <c r="I167" s="3">
        <v>7.4</v>
      </c>
      <c r="J167" s="3">
        <v>0.2</v>
      </c>
      <c r="K167" s="3">
        <v>0.26</v>
      </c>
      <c r="L167" s="3">
        <v>0.04</v>
      </c>
      <c r="M167" s="3">
        <v>16.899999999999999</v>
      </c>
      <c r="N167" s="3">
        <v>0.15</v>
      </c>
      <c r="O167" s="3">
        <v>0.28999999999999998</v>
      </c>
      <c r="P167" s="3">
        <v>0.02</v>
      </c>
      <c r="Q167" s="3">
        <v>7.14</v>
      </c>
      <c r="R167" s="3">
        <v>0.15</v>
      </c>
      <c r="S167" s="3">
        <v>5.88</v>
      </c>
      <c r="T167" s="3">
        <v>7.0000000000000007E-2</v>
      </c>
      <c r="U167" s="3">
        <v>2.0099999999999998</v>
      </c>
      <c r="V167" s="3">
        <v>0.26</v>
      </c>
      <c r="W167" s="3">
        <v>0.56999999999999995</v>
      </c>
      <c r="X167" s="3">
        <v>7.0000000000000007E-2</v>
      </c>
      <c r="Y167" s="3">
        <v>1.01</v>
      </c>
      <c r="Z167" s="3">
        <v>0.1</v>
      </c>
      <c r="AA167" s="3">
        <v>16.5</v>
      </c>
      <c r="AB167" s="3">
        <v>0.22</v>
      </c>
      <c r="AC167" s="3">
        <v>0.88</v>
      </c>
      <c r="AD167" s="3">
        <v>0.03</v>
      </c>
      <c r="AE167" s="3">
        <v>436</v>
      </c>
      <c r="AF167" s="3">
        <v>65</v>
      </c>
      <c r="AG167" s="3">
        <v>514</v>
      </c>
      <c r="AH167" s="3">
        <v>30</v>
      </c>
      <c r="AI167" s="3">
        <v>50</v>
      </c>
      <c r="AJ167" s="3">
        <v>21</v>
      </c>
    </row>
    <row r="168" spans="1:36" x14ac:dyDescent="0.25">
      <c r="A168" s="7">
        <v>1843</v>
      </c>
      <c r="B168" s="3" t="s">
        <v>6</v>
      </c>
      <c r="C168" s="3" t="s">
        <v>459</v>
      </c>
      <c r="D168" s="3"/>
      <c r="E168" s="3">
        <v>33.799999999999997</v>
      </c>
      <c r="F168" s="3">
        <v>0.4</v>
      </c>
      <c r="G168" s="3">
        <v>0.7</v>
      </c>
      <c r="H168" s="3">
        <v>0.08</v>
      </c>
      <c r="I168" s="3">
        <v>5.71</v>
      </c>
      <c r="J168" s="3">
        <v>0.12</v>
      </c>
      <c r="K168" s="3">
        <v>0.26</v>
      </c>
      <c r="L168" s="3">
        <v>0.04</v>
      </c>
      <c r="M168" s="3">
        <v>22</v>
      </c>
      <c r="N168" s="3">
        <v>0.18</v>
      </c>
      <c r="O168" s="3">
        <v>0.25</v>
      </c>
      <c r="P168" s="3">
        <v>0.02</v>
      </c>
      <c r="Q168" s="3">
        <v>6.92</v>
      </c>
      <c r="R168" s="3">
        <v>0.13</v>
      </c>
      <c r="S168" s="3">
        <v>4.96</v>
      </c>
      <c r="T168" s="3">
        <v>0.06</v>
      </c>
      <c r="U168" s="3">
        <v>1.76</v>
      </c>
      <c r="V168" s="3">
        <v>0.25</v>
      </c>
      <c r="W168" s="3">
        <v>0.5</v>
      </c>
      <c r="X168" s="3">
        <v>7.0000000000000007E-2</v>
      </c>
      <c r="Y168" s="3">
        <v>0.97</v>
      </c>
      <c r="Z168" s="3">
        <v>0.1</v>
      </c>
      <c r="AA168" s="3">
        <v>21.44</v>
      </c>
      <c r="AB168" s="3">
        <v>0.28000000000000003</v>
      </c>
      <c r="AC168" s="3">
        <v>0.69</v>
      </c>
      <c r="AD168" s="3">
        <v>0.03</v>
      </c>
      <c r="AE168" s="3">
        <v>730</v>
      </c>
      <c r="AF168" s="3">
        <v>75</v>
      </c>
      <c r="AG168" s="3">
        <v>391</v>
      </c>
      <c r="AH168" s="3">
        <v>30</v>
      </c>
      <c r="AI168" s="3">
        <v>79</v>
      </c>
      <c r="AJ168" s="3">
        <v>23</v>
      </c>
    </row>
    <row r="169" spans="1:36" x14ac:dyDescent="0.25">
      <c r="A169" s="7">
        <v>1880</v>
      </c>
      <c r="B169" s="3" t="s">
        <v>96</v>
      </c>
      <c r="C169" s="3" t="s">
        <v>460</v>
      </c>
      <c r="D169" s="3"/>
      <c r="E169" s="3">
        <v>42.9</v>
      </c>
      <c r="F169" s="3">
        <v>0.52</v>
      </c>
      <c r="G169" s="3">
        <v>1.1299999999999999</v>
      </c>
      <c r="H169" s="3">
        <v>0.1</v>
      </c>
      <c r="I169" s="3">
        <v>8.5500000000000007</v>
      </c>
      <c r="J169" s="3">
        <v>0.17</v>
      </c>
      <c r="K169" s="3">
        <v>0.31</v>
      </c>
      <c r="L169" s="3">
        <v>0.06</v>
      </c>
      <c r="M169" s="3">
        <v>21.6</v>
      </c>
      <c r="N169" s="3">
        <v>0.19</v>
      </c>
      <c r="O169" s="3">
        <v>0.4</v>
      </c>
      <c r="P169" s="3">
        <v>0.03</v>
      </c>
      <c r="Q169" s="3">
        <v>6.78</v>
      </c>
      <c r="R169" s="3">
        <v>0.17</v>
      </c>
      <c r="S169" s="3">
        <v>7.21</v>
      </c>
      <c r="T169" s="3">
        <v>0.11</v>
      </c>
      <c r="U169" s="3">
        <v>1.24</v>
      </c>
      <c r="V169" s="3">
        <v>0.27</v>
      </c>
      <c r="W169" s="3">
        <v>0.57999999999999996</v>
      </c>
      <c r="X169" s="3">
        <v>0.08</v>
      </c>
      <c r="Y169" s="3">
        <v>1.18</v>
      </c>
      <c r="Z169" s="3">
        <v>0.11</v>
      </c>
      <c r="AA169" s="3">
        <v>7.23</v>
      </c>
      <c r="AB169" s="3">
        <v>0.17</v>
      </c>
      <c r="AC169" s="3">
        <v>0.74</v>
      </c>
      <c r="AD169" s="3">
        <v>0.04</v>
      </c>
      <c r="AE169" s="3">
        <v>485</v>
      </c>
      <c r="AF169" s="3">
        <v>119</v>
      </c>
      <c r="AG169" s="3">
        <v>437</v>
      </c>
      <c r="AH169" s="3">
        <v>53</v>
      </c>
      <c r="AI169" s="3">
        <v>47</v>
      </c>
      <c r="AJ169" s="3">
        <v>27</v>
      </c>
    </row>
    <row r="170" spans="1:36" x14ac:dyDescent="0.25">
      <c r="A170" s="7">
        <v>1881</v>
      </c>
      <c r="B170" s="3" t="s">
        <v>96</v>
      </c>
      <c r="C170" s="3" t="s">
        <v>461</v>
      </c>
      <c r="D170" s="3"/>
      <c r="E170" s="3">
        <v>43.5</v>
      </c>
      <c r="F170" s="3">
        <v>0.61</v>
      </c>
      <c r="G170" s="3">
        <v>1.05</v>
      </c>
      <c r="H170" s="3">
        <v>0.1</v>
      </c>
      <c r="I170" s="3">
        <v>8.3699999999999992</v>
      </c>
      <c r="J170" s="3">
        <v>0.2</v>
      </c>
      <c r="K170" s="3">
        <v>0.47</v>
      </c>
      <c r="L170" s="3">
        <v>0.06</v>
      </c>
      <c r="M170" s="3">
        <v>21</v>
      </c>
      <c r="N170" s="3">
        <v>0.24</v>
      </c>
      <c r="O170" s="3">
        <v>0.41</v>
      </c>
      <c r="P170" s="3">
        <v>0.03</v>
      </c>
      <c r="Q170" s="3">
        <v>8.2200000000000006</v>
      </c>
      <c r="R170" s="3">
        <v>0.19</v>
      </c>
      <c r="S170" s="3">
        <v>7.22</v>
      </c>
      <c r="T170" s="3">
        <v>0.11</v>
      </c>
      <c r="U170" s="3">
        <v>1.24</v>
      </c>
      <c r="V170" s="3">
        <v>0.28000000000000003</v>
      </c>
      <c r="W170" s="3">
        <v>0.51</v>
      </c>
      <c r="X170" s="3">
        <v>7.0000000000000007E-2</v>
      </c>
      <c r="Y170" s="3">
        <v>1.1399999999999999</v>
      </c>
      <c r="Z170" s="3">
        <v>0.11</v>
      </c>
      <c r="AA170" s="3">
        <v>6.15</v>
      </c>
      <c r="AB170" s="3">
        <v>0.17</v>
      </c>
      <c r="AC170" s="3">
        <v>0.66</v>
      </c>
      <c r="AD170" s="3">
        <v>0.03</v>
      </c>
      <c r="AE170" s="3">
        <v>465</v>
      </c>
      <c r="AF170" s="3">
        <v>122</v>
      </c>
      <c r="AG170" s="3">
        <v>299</v>
      </c>
      <c r="AH170" s="3">
        <v>51</v>
      </c>
      <c r="AI170" s="3">
        <v>35</v>
      </c>
      <c r="AJ170" s="3">
        <v>36</v>
      </c>
    </row>
    <row r="171" spans="1:36" x14ac:dyDescent="0.25">
      <c r="A171" s="7">
        <v>1882</v>
      </c>
      <c r="B171" s="3" t="s">
        <v>96</v>
      </c>
      <c r="C171" s="3" t="s">
        <v>462</v>
      </c>
      <c r="D171" s="3"/>
      <c r="E171" s="3">
        <v>42.7</v>
      </c>
      <c r="F171" s="3">
        <v>0.47</v>
      </c>
      <c r="G171" s="3">
        <v>1.1200000000000001</v>
      </c>
      <c r="H171" s="3">
        <v>0.09</v>
      </c>
      <c r="I171" s="3">
        <v>8.26</v>
      </c>
      <c r="J171" s="3">
        <v>0.13</v>
      </c>
      <c r="K171" s="3">
        <v>0.28000000000000003</v>
      </c>
      <c r="L171" s="3">
        <v>0.04</v>
      </c>
      <c r="M171" s="3">
        <v>23.5</v>
      </c>
      <c r="N171" s="3">
        <v>0.18</v>
      </c>
      <c r="O171" s="3">
        <v>0.34</v>
      </c>
      <c r="P171" s="3">
        <v>0.02</v>
      </c>
      <c r="Q171" s="3">
        <v>6.81</v>
      </c>
      <c r="R171" s="3">
        <v>0.12</v>
      </c>
      <c r="S171" s="3">
        <v>6.97</v>
      </c>
      <c r="T171" s="3">
        <v>7.0000000000000007E-2</v>
      </c>
      <c r="U171" s="3">
        <v>1.33</v>
      </c>
      <c r="V171" s="3">
        <v>0.2</v>
      </c>
      <c r="W171" s="3">
        <v>0.59</v>
      </c>
      <c r="X171" s="3">
        <v>7.0000000000000007E-2</v>
      </c>
      <c r="Y171" s="3">
        <v>1.1499999999999999</v>
      </c>
      <c r="Z171" s="3">
        <v>0.09</v>
      </c>
      <c r="AA171" s="3">
        <v>6.06</v>
      </c>
      <c r="AB171" s="3">
        <v>0.11</v>
      </c>
      <c r="AC171" s="3">
        <v>0.7</v>
      </c>
      <c r="AD171" s="3">
        <v>0.02</v>
      </c>
      <c r="AE171" s="3">
        <v>435</v>
      </c>
      <c r="AF171" s="3">
        <v>80</v>
      </c>
      <c r="AG171" s="3">
        <v>335</v>
      </c>
      <c r="AH171" s="3">
        <v>30</v>
      </c>
      <c r="AI171" s="3">
        <v>65</v>
      </c>
      <c r="AJ171" s="3">
        <v>22</v>
      </c>
    </row>
    <row r="172" spans="1:36" x14ac:dyDescent="0.25">
      <c r="A172" s="7">
        <v>1886</v>
      </c>
      <c r="B172" s="3" t="s">
        <v>96</v>
      </c>
      <c r="C172" s="3" t="s">
        <v>463</v>
      </c>
      <c r="D172" s="3"/>
      <c r="E172" s="3">
        <v>43.7</v>
      </c>
      <c r="F172" s="3">
        <v>0.28999999999999998</v>
      </c>
      <c r="G172" s="3">
        <v>0.23</v>
      </c>
      <c r="H172" s="3">
        <v>0.06</v>
      </c>
      <c r="I172" s="3">
        <v>4.2699999999999996</v>
      </c>
      <c r="J172" s="3">
        <v>0.08</v>
      </c>
      <c r="K172" s="3">
        <v>0.55000000000000004</v>
      </c>
      <c r="L172" s="3">
        <v>0.03</v>
      </c>
      <c r="M172" s="3">
        <v>21</v>
      </c>
      <c r="N172" s="3">
        <v>0.08</v>
      </c>
      <c r="O172" s="3">
        <v>0.39</v>
      </c>
      <c r="P172" s="3">
        <v>0.01</v>
      </c>
      <c r="Q172" s="3">
        <v>18.25</v>
      </c>
      <c r="R172" s="3">
        <v>0.15</v>
      </c>
      <c r="S172" s="3">
        <v>3</v>
      </c>
      <c r="T172" s="3">
        <v>0.03</v>
      </c>
      <c r="U172" s="3">
        <v>1.59</v>
      </c>
      <c r="V172" s="3">
        <v>0.2</v>
      </c>
      <c r="W172" s="3">
        <v>0.15</v>
      </c>
      <c r="X172" s="3">
        <v>0.05</v>
      </c>
      <c r="Y172" s="3">
        <v>0.55000000000000004</v>
      </c>
      <c r="Z172" s="3">
        <v>7.0000000000000007E-2</v>
      </c>
      <c r="AA172" s="3">
        <v>5.5</v>
      </c>
      <c r="AB172" s="3">
        <v>0.06</v>
      </c>
      <c r="AC172" s="3">
        <v>0.43</v>
      </c>
      <c r="AD172" s="3">
        <v>0.01</v>
      </c>
      <c r="AE172" s="3">
        <v>2722</v>
      </c>
      <c r="AF172" s="3">
        <v>65</v>
      </c>
      <c r="AG172" s="3">
        <v>88</v>
      </c>
      <c r="AH172" s="3">
        <v>9</v>
      </c>
      <c r="AI172" s="3">
        <v>99</v>
      </c>
      <c r="AJ172" s="3">
        <v>15</v>
      </c>
    </row>
    <row r="173" spans="1:36" x14ac:dyDescent="0.25">
      <c r="A173" s="7">
        <v>1918</v>
      </c>
      <c r="B173" s="3" t="s">
        <v>8</v>
      </c>
      <c r="C173" s="3" t="s">
        <v>464</v>
      </c>
      <c r="D173" s="3"/>
      <c r="E173" s="3">
        <v>44.4</v>
      </c>
      <c r="F173" s="3">
        <v>0.47</v>
      </c>
      <c r="G173" s="3">
        <v>1.1399999999999999</v>
      </c>
      <c r="H173" s="3">
        <v>0.08</v>
      </c>
      <c r="I173" s="3">
        <v>8.77</v>
      </c>
      <c r="J173" s="3">
        <v>0.14000000000000001</v>
      </c>
      <c r="K173" s="3">
        <v>0.52</v>
      </c>
      <c r="L173" s="3">
        <v>0.04</v>
      </c>
      <c r="M173" s="3">
        <v>20.7</v>
      </c>
      <c r="N173" s="3">
        <v>0.16</v>
      </c>
      <c r="O173" s="3">
        <v>0.41</v>
      </c>
      <c r="P173" s="3">
        <v>0.02</v>
      </c>
      <c r="Q173" s="3">
        <v>7.55</v>
      </c>
      <c r="R173" s="3">
        <v>0.15</v>
      </c>
      <c r="S173" s="3">
        <v>6.83</v>
      </c>
      <c r="T173" s="3">
        <v>0.06</v>
      </c>
      <c r="U173" s="3">
        <v>2.15</v>
      </c>
      <c r="V173" s="3">
        <v>0.28999999999999998</v>
      </c>
      <c r="W173" s="3">
        <v>0.41</v>
      </c>
      <c r="X173" s="3">
        <v>0.06</v>
      </c>
      <c r="Y173" s="3">
        <v>0.83</v>
      </c>
      <c r="Z173" s="3">
        <v>0.08</v>
      </c>
      <c r="AA173" s="3">
        <v>5.51</v>
      </c>
      <c r="AB173" s="3">
        <v>0.09</v>
      </c>
      <c r="AC173" s="3">
        <v>0.59</v>
      </c>
      <c r="AD173" s="3">
        <v>0.02</v>
      </c>
      <c r="AE173" s="3">
        <v>384</v>
      </c>
      <c r="AF173" s="3">
        <v>54</v>
      </c>
      <c r="AG173" s="3">
        <v>301</v>
      </c>
      <c r="AH173" s="3">
        <v>20</v>
      </c>
      <c r="AI173" s="3">
        <v>41</v>
      </c>
      <c r="AJ173" s="3">
        <v>18</v>
      </c>
    </row>
    <row r="174" spans="1:36" x14ac:dyDescent="0.25">
      <c r="A174" s="7">
        <v>1919</v>
      </c>
      <c r="B174" s="3" t="s">
        <v>8</v>
      </c>
      <c r="C174" s="3" t="s">
        <v>465</v>
      </c>
      <c r="D174" s="3"/>
      <c r="E174" s="3">
        <v>44.4</v>
      </c>
      <c r="F174" s="3">
        <v>0.46</v>
      </c>
      <c r="G174" s="3">
        <v>1.17</v>
      </c>
      <c r="H174" s="3">
        <v>0.08</v>
      </c>
      <c r="I174" s="3">
        <v>8.7100000000000009</v>
      </c>
      <c r="J174" s="3">
        <v>0.13</v>
      </c>
      <c r="K174" s="3">
        <v>0.51</v>
      </c>
      <c r="L174" s="3">
        <v>0.04</v>
      </c>
      <c r="M174" s="3">
        <v>20.7</v>
      </c>
      <c r="N174" s="3">
        <v>0.16</v>
      </c>
      <c r="O174" s="3">
        <v>0.43</v>
      </c>
      <c r="P174" s="3">
        <v>0.02</v>
      </c>
      <c r="Q174" s="3">
        <v>7.53</v>
      </c>
      <c r="R174" s="3">
        <v>0.11</v>
      </c>
      <c r="S174" s="3">
        <v>6.82</v>
      </c>
      <c r="T174" s="3">
        <v>0.06</v>
      </c>
      <c r="U174" s="3">
        <v>2.27</v>
      </c>
      <c r="V174" s="3">
        <v>0.21</v>
      </c>
      <c r="W174" s="3">
        <v>0.43</v>
      </c>
      <c r="X174" s="3">
        <v>0.06</v>
      </c>
      <c r="Y174" s="3">
        <v>0.84</v>
      </c>
      <c r="Z174" s="3">
        <v>0.08</v>
      </c>
      <c r="AA174" s="3">
        <v>5.46</v>
      </c>
      <c r="AB174" s="3">
        <v>0.09</v>
      </c>
      <c r="AC174" s="3">
        <v>0.6</v>
      </c>
      <c r="AD174" s="3">
        <v>0.02</v>
      </c>
      <c r="AE174" s="3">
        <v>459</v>
      </c>
      <c r="AF174" s="3">
        <v>56</v>
      </c>
      <c r="AG174" s="3">
        <v>327</v>
      </c>
      <c r="AH174" s="3">
        <v>21</v>
      </c>
      <c r="AI174" s="3">
        <v>42</v>
      </c>
      <c r="AJ174" s="3">
        <v>17</v>
      </c>
    </row>
    <row r="175" spans="1:36" x14ac:dyDescent="0.25">
      <c r="A175" s="7">
        <v>1925</v>
      </c>
      <c r="B175" s="3" t="s">
        <v>4</v>
      </c>
      <c r="C175" s="3" t="s">
        <v>466</v>
      </c>
      <c r="D175" s="3"/>
      <c r="E175" s="3">
        <v>41</v>
      </c>
      <c r="F175" s="3">
        <v>0.33</v>
      </c>
      <c r="G175" s="3">
        <v>0.85</v>
      </c>
      <c r="H175" s="3">
        <v>0.06</v>
      </c>
      <c r="I175" s="3">
        <v>7.74</v>
      </c>
      <c r="J175" s="3">
        <v>0.08</v>
      </c>
      <c r="K175" s="3">
        <v>0.22</v>
      </c>
      <c r="L175" s="3">
        <v>0.03</v>
      </c>
      <c r="M175" s="3">
        <v>16.899999999999999</v>
      </c>
      <c r="N175" s="3">
        <v>0.09</v>
      </c>
      <c r="O175" s="3">
        <v>0.3</v>
      </c>
      <c r="P175" s="3">
        <v>0.01</v>
      </c>
      <c r="Q175" s="3">
        <v>7.11</v>
      </c>
      <c r="R175" s="3">
        <v>0.09</v>
      </c>
      <c r="S175" s="3">
        <v>5.45</v>
      </c>
      <c r="T175" s="3">
        <v>0.04</v>
      </c>
      <c r="U175" s="3">
        <v>2.2200000000000002</v>
      </c>
      <c r="V175" s="3">
        <v>0.2</v>
      </c>
      <c r="W175" s="3">
        <v>0.55000000000000004</v>
      </c>
      <c r="X175" s="3">
        <v>0.06</v>
      </c>
      <c r="Y175" s="3">
        <v>1.06</v>
      </c>
      <c r="Z175" s="3">
        <v>7.0000000000000007E-2</v>
      </c>
      <c r="AA175" s="3">
        <v>15.48</v>
      </c>
      <c r="AB175" s="3">
        <v>0.14000000000000001</v>
      </c>
      <c r="AC175" s="3">
        <v>0.98</v>
      </c>
      <c r="AD175" s="3">
        <v>0.02</v>
      </c>
      <c r="AE175" s="3">
        <v>487</v>
      </c>
      <c r="AF175" s="3">
        <v>42</v>
      </c>
      <c r="AG175" s="3">
        <v>523</v>
      </c>
      <c r="AH175" s="3">
        <v>15</v>
      </c>
      <c r="AI175" s="3">
        <v>71</v>
      </c>
      <c r="AJ175" s="3">
        <v>14</v>
      </c>
    </row>
    <row r="176" spans="1:36" x14ac:dyDescent="0.25">
      <c r="A176" s="7">
        <v>1927</v>
      </c>
      <c r="B176" s="3" t="s">
        <v>4</v>
      </c>
      <c r="C176" s="3" t="s">
        <v>467</v>
      </c>
      <c r="D176" s="3"/>
      <c r="E176" s="3">
        <v>41.2</v>
      </c>
      <c r="F176" s="3">
        <v>0.31</v>
      </c>
      <c r="G176" s="3">
        <v>0.87</v>
      </c>
      <c r="H176" s="3">
        <v>7.0000000000000007E-2</v>
      </c>
      <c r="I176" s="3">
        <v>7.78</v>
      </c>
      <c r="J176" s="3">
        <v>0.1</v>
      </c>
      <c r="K176" s="3">
        <v>0.2</v>
      </c>
      <c r="L176" s="3">
        <v>0.03</v>
      </c>
      <c r="M176" s="3">
        <v>16.7</v>
      </c>
      <c r="N176" s="3">
        <v>0.09</v>
      </c>
      <c r="O176" s="3">
        <v>0.3</v>
      </c>
      <c r="P176" s="3">
        <v>0.01</v>
      </c>
      <c r="Q176" s="3">
        <v>7.25</v>
      </c>
      <c r="R176" s="3">
        <v>0.1</v>
      </c>
      <c r="S176" s="3">
        <v>5.45</v>
      </c>
      <c r="T176" s="3">
        <v>0.06</v>
      </c>
      <c r="U176" s="3">
        <v>2.17</v>
      </c>
      <c r="V176" s="3">
        <v>0.19</v>
      </c>
      <c r="W176" s="3">
        <v>0.56999999999999995</v>
      </c>
      <c r="X176" s="3">
        <v>0.06</v>
      </c>
      <c r="Y176" s="3">
        <v>1.04</v>
      </c>
      <c r="Z176" s="3">
        <v>0.08</v>
      </c>
      <c r="AA176" s="3">
        <v>15.36</v>
      </c>
      <c r="AB176" s="3">
        <v>0.17</v>
      </c>
      <c r="AC176" s="3">
        <v>0.97</v>
      </c>
      <c r="AD176" s="3">
        <v>0.02</v>
      </c>
      <c r="AE176" s="3">
        <v>487</v>
      </c>
      <c r="AF176" s="3">
        <v>57</v>
      </c>
      <c r="AG176" s="3">
        <v>508</v>
      </c>
      <c r="AH176" s="3">
        <v>25</v>
      </c>
      <c r="AI176" s="3">
        <v>61</v>
      </c>
      <c r="AJ176" s="3">
        <v>17</v>
      </c>
    </row>
    <row r="177" spans="1:36" x14ac:dyDescent="0.25">
      <c r="A177" s="7">
        <v>1931</v>
      </c>
      <c r="B177" s="3" t="s">
        <v>4</v>
      </c>
      <c r="C177" s="3" t="s">
        <v>468</v>
      </c>
      <c r="D177" s="3"/>
      <c r="E177" s="3">
        <v>42.2</v>
      </c>
      <c r="F177" s="3">
        <v>0.47</v>
      </c>
      <c r="G177" s="3">
        <v>0.92</v>
      </c>
      <c r="H177" s="3">
        <v>0.08</v>
      </c>
      <c r="I177" s="3">
        <v>8.11</v>
      </c>
      <c r="J177" s="3">
        <v>0.14000000000000001</v>
      </c>
      <c r="K177" s="3">
        <v>0.25</v>
      </c>
      <c r="L177" s="3">
        <v>0.04</v>
      </c>
      <c r="M177" s="3">
        <v>17.600000000000001</v>
      </c>
      <c r="N177" s="3">
        <v>0.15</v>
      </c>
      <c r="O177" s="3">
        <v>0.33</v>
      </c>
      <c r="P177" s="3">
        <v>0.02</v>
      </c>
      <c r="Q177" s="3">
        <v>7.25</v>
      </c>
      <c r="R177" s="3">
        <v>0.13</v>
      </c>
      <c r="S177" s="3">
        <v>5.82</v>
      </c>
      <c r="T177" s="3">
        <v>7.0000000000000007E-2</v>
      </c>
      <c r="U177" s="3">
        <v>2.2000000000000002</v>
      </c>
      <c r="V177" s="3">
        <v>0.24</v>
      </c>
      <c r="W177" s="3">
        <v>0.56000000000000005</v>
      </c>
      <c r="X177" s="3">
        <v>7.0000000000000007E-2</v>
      </c>
      <c r="Y177" s="3">
        <v>0.97</v>
      </c>
      <c r="Z177" s="3">
        <v>0.09</v>
      </c>
      <c r="AA177" s="3">
        <v>12.64</v>
      </c>
      <c r="AB177" s="3">
        <v>0.18</v>
      </c>
      <c r="AC177" s="3">
        <v>0.97</v>
      </c>
      <c r="AD177" s="3">
        <v>0.03</v>
      </c>
      <c r="AE177" s="3">
        <v>484</v>
      </c>
      <c r="AF177" s="3">
        <v>62</v>
      </c>
      <c r="AG177" s="3">
        <v>544</v>
      </c>
      <c r="AH177" s="3">
        <v>29</v>
      </c>
      <c r="AI177" s="3">
        <v>134</v>
      </c>
      <c r="AJ177" s="3">
        <v>21</v>
      </c>
    </row>
    <row r="178" spans="1:36" x14ac:dyDescent="0.25">
      <c r="A178" s="7">
        <v>1974</v>
      </c>
      <c r="B178" s="3" t="s">
        <v>3</v>
      </c>
      <c r="C178" s="3" t="s">
        <v>469</v>
      </c>
      <c r="D178" s="3"/>
      <c r="E178" s="3">
        <v>43.9</v>
      </c>
      <c r="F178" s="3">
        <v>0.4</v>
      </c>
      <c r="G178" s="3">
        <v>0.96</v>
      </c>
      <c r="H178" s="3">
        <v>7.0000000000000007E-2</v>
      </c>
      <c r="I178" s="3">
        <v>8.68</v>
      </c>
      <c r="J178" s="3">
        <v>0.1</v>
      </c>
      <c r="K178" s="3">
        <v>0.39</v>
      </c>
      <c r="L178" s="3">
        <v>0.03</v>
      </c>
      <c r="M178" s="3">
        <v>22.3</v>
      </c>
      <c r="N178" s="3">
        <v>0.14000000000000001</v>
      </c>
      <c r="O178" s="3">
        <v>0.38</v>
      </c>
      <c r="P178" s="3">
        <v>0.01</v>
      </c>
      <c r="Q178" s="3">
        <v>7.15</v>
      </c>
      <c r="R178" s="3">
        <v>0.09</v>
      </c>
      <c r="S178" s="3">
        <v>6.82</v>
      </c>
      <c r="T178" s="3">
        <v>0.05</v>
      </c>
      <c r="U178" s="3">
        <v>2.09</v>
      </c>
      <c r="V178" s="3">
        <v>0.18</v>
      </c>
      <c r="W178" s="3">
        <v>0.45</v>
      </c>
      <c r="X178" s="3">
        <v>0.06</v>
      </c>
      <c r="Y178" s="3">
        <v>0.9</v>
      </c>
      <c r="Z178" s="3">
        <v>7.0000000000000007E-2</v>
      </c>
      <c r="AA178" s="3">
        <v>5.25</v>
      </c>
      <c r="AB178" s="3">
        <v>7.0000000000000007E-2</v>
      </c>
      <c r="AC178" s="3">
        <v>0.69</v>
      </c>
      <c r="AD178" s="3">
        <v>0.01</v>
      </c>
      <c r="AE178" s="3">
        <v>505</v>
      </c>
      <c r="AF178" s="3">
        <v>47</v>
      </c>
      <c r="AG178" s="3">
        <v>305</v>
      </c>
      <c r="AH178" s="3">
        <v>14</v>
      </c>
      <c r="AI178" s="3">
        <v>75</v>
      </c>
      <c r="AJ178" s="3">
        <v>16</v>
      </c>
    </row>
    <row r="179" spans="1:36" x14ac:dyDescent="0.25">
      <c r="A179" s="7">
        <v>2016</v>
      </c>
      <c r="B179" s="3" t="s">
        <v>8</v>
      </c>
      <c r="C179" s="3" t="s">
        <v>470</v>
      </c>
      <c r="D179" s="3"/>
      <c r="E179" s="3">
        <v>44.3</v>
      </c>
      <c r="F179" s="3">
        <v>0.4</v>
      </c>
      <c r="G179" s="3">
        <v>1.25</v>
      </c>
      <c r="H179" s="3">
        <v>7.0000000000000007E-2</v>
      </c>
      <c r="I179" s="3">
        <v>8.65</v>
      </c>
      <c r="J179" s="3">
        <v>0.1</v>
      </c>
      <c r="K179" s="3">
        <v>0.56999999999999995</v>
      </c>
      <c r="L179" s="3">
        <v>0.03</v>
      </c>
      <c r="M179" s="3">
        <v>21</v>
      </c>
      <c r="N179" s="3">
        <v>0.13</v>
      </c>
      <c r="O179" s="3">
        <v>0.41</v>
      </c>
      <c r="P179" s="3">
        <v>0.01</v>
      </c>
      <c r="Q179" s="3">
        <v>7.31</v>
      </c>
      <c r="R179" s="3">
        <v>0.09</v>
      </c>
      <c r="S179" s="3">
        <v>6.9</v>
      </c>
      <c r="T179" s="3">
        <v>0.05</v>
      </c>
      <c r="U179" s="3">
        <v>2.25</v>
      </c>
      <c r="V179" s="3">
        <v>0.18</v>
      </c>
      <c r="W179" s="3">
        <v>0.41</v>
      </c>
      <c r="X179" s="3">
        <v>0.06</v>
      </c>
      <c r="Y179" s="3">
        <v>0.85</v>
      </c>
      <c r="Z179" s="3">
        <v>7.0000000000000007E-2</v>
      </c>
      <c r="AA179" s="3">
        <v>5.34</v>
      </c>
      <c r="AB179" s="3">
        <v>7.0000000000000007E-2</v>
      </c>
      <c r="AC179" s="3">
        <v>0.56999999999999995</v>
      </c>
      <c r="AD179" s="3">
        <v>0.01</v>
      </c>
      <c r="AE179" s="3">
        <v>391</v>
      </c>
      <c r="AF179" s="3">
        <v>43</v>
      </c>
      <c r="AG179" s="3">
        <v>370</v>
      </c>
      <c r="AH179" s="3">
        <v>14</v>
      </c>
      <c r="AI179" s="3">
        <v>124</v>
      </c>
      <c r="AJ179" s="3">
        <v>16</v>
      </c>
    </row>
    <row r="180" spans="1:36" x14ac:dyDescent="0.25">
      <c r="A180" s="7">
        <v>2070</v>
      </c>
      <c r="B180" s="3" t="s">
        <v>5</v>
      </c>
      <c r="C180" s="3" t="s">
        <v>471</v>
      </c>
      <c r="D180" s="3"/>
      <c r="E180" s="3">
        <v>46.1</v>
      </c>
      <c r="F180" s="3">
        <v>0.46</v>
      </c>
      <c r="G180" s="3">
        <v>0.59</v>
      </c>
      <c r="H180" s="3">
        <v>7.0000000000000007E-2</v>
      </c>
      <c r="I180" s="3">
        <v>11.48</v>
      </c>
      <c r="J180" s="3">
        <v>0.16</v>
      </c>
      <c r="K180" s="3">
        <v>0.51</v>
      </c>
      <c r="L180" s="3">
        <v>0.04</v>
      </c>
      <c r="M180" s="3">
        <v>16.600000000000001</v>
      </c>
      <c r="N180" s="3">
        <v>0.13</v>
      </c>
      <c r="O180" s="3">
        <v>0.36</v>
      </c>
      <c r="P180" s="3">
        <v>0.01</v>
      </c>
      <c r="Q180" s="3">
        <v>11.98</v>
      </c>
      <c r="R180" s="3">
        <v>0.16</v>
      </c>
      <c r="S180" s="3">
        <v>5.72</v>
      </c>
      <c r="T180" s="3">
        <v>0.06</v>
      </c>
      <c r="U180" s="3">
        <v>2.48</v>
      </c>
      <c r="V180" s="3">
        <v>0.22</v>
      </c>
      <c r="W180" s="3">
        <v>0.36</v>
      </c>
      <c r="X180" s="3">
        <v>0.06</v>
      </c>
      <c r="Y180" s="3">
        <v>1</v>
      </c>
      <c r="Z180" s="3">
        <v>0.08</v>
      </c>
      <c r="AA180" s="3">
        <v>2.33</v>
      </c>
      <c r="AB180" s="3">
        <v>0.06</v>
      </c>
      <c r="AC180" s="3">
        <v>0.43</v>
      </c>
      <c r="AD180" s="3">
        <v>0.01</v>
      </c>
      <c r="AE180" s="3">
        <v>319</v>
      </c>
      <c r="AF180" s="3">
        <v>51</v>
      </c>
      <c r="AG180" s="3">
        <v>182</v>
      </c>
      <c r="AH180" s="3">
        <v>17</v>
      </c>
      <c r="AI180" s="3">
        <v>26</v>
      </c>
      <c r="AJ180" s="3">
        <v>17</v>
      </c>
    </row>
    <row r="181" spans="1:36" x14ac:dyDescent="0.25">
      <c r="A181" s="7">
        <v>2071</v>
      </c>
      <c r="B181" s="3" t="s">
        <v>5</v>
      </c>
      <c r="C181" s="3" t="s">
        <v>472</v>
      </c>
      <c r="D181" s="3"/>
      <c r="E181" s="3">
        <v>46.2</v>
      </c>
      <c r="F181" s="3">
        <v>0.46</v>
      </c>
      <c r="G181" s="3">
        <v>0.48</v>
      </c>
      <c r="H181" s="3">
        <v>7.0000000000000007E-2</v>
      </c>
      <c r="I181" s="3">
        <v>11.45</v>
      </c>
      <c r="J181" s="3">
        <v>0.15</v>
      </c>
      <c r="K181" s="3">
        <v>0.46</v>
      </c>
      <c r="L181" s="3">
        <v>0.04</v>
      </c>
      <c r="M181" s="3">
        <v>16.600000000000001</v>
      </c>
      <c r="N181" s="3">
        <v>0.13</v>
      </c>
      <c r="O181" s="3">
        <v>0.35</v>
      </c>
      <c r="P181" s="3">
        <v>0.01</v>
      </c>
      <c r="Q181" s="3">
        <v>11.98</v>
      </c>
      <c r="R181" s="3">
        <v>0.15</v>
      </c>
      <c r="S181" s="3">
        <v>5.71</v>
      </c>
      <c r="T181" s="3">
        <v>0.06</v>
      </c>
      <c r="U181" s="3">
        <v>2.5</v>
      </c>
      <c r="V181" s="3">
        <v>0.22</v>
      </c>
      <c r="W181" s="3">
        <v>0.37</v>
      </c>
      <c r="X181" s="3">
        <v>0.06</v>
      </c>
      <c r="Y181" s="3">
        <v>1.01</v>
      </c>
      <c r="Z181" s="3">
        <v>0.08</v>
      </c>
      <c r="AA181" s="3">
        <v>2.36</v>
      </c>
      <c r="AB181" s="3">
        <v>0.05</v>
      </c>
      <c r="AC181" s="3">
        <v>0.44</v>
      </c>
      <c r="AD181" s="3">
        <v>0.01</v>
      </c>
      <c r="AE181" s="3">
        <v>234</v>
      </c>
      <c r="AF181" s="3">
        <v>48</v>
      </c>
      <c r="AG181" s="3">
        <v>184</v>
      </c>
      <c r="AH181" s="3">
        <v>16</v>
      </c>
      <c r="AI181" s="3">
        <v>16</v>
      </c>
      <c r="AJ181" s="3">
        <v>16</v>
      </c>
    </row>
    <row r="182" spans="1:36" x14ac:dyDescent="0.25">
      <c r="A182" s="7">
        <v>2075</v>
      </c>
      <c r="B182" s="3" t="s">
        <v>5</v>
      </c>
      <c r="C182" s="3" t="s">
        <v>473</v>
      </c>
      <c r="D182" s="3"/>
      <c r="E182" s="3">
        <v>47</v>
      </c>
      <c r="F182" s="3">
        <v>0.48</v>
      </c>
      <c r="G182" s="3">
        <v>0.6</v>
      </c>
      <c r="H182" s="3">
        <v>7.0000000000000007E-2</v>
      </c>
      <c r="I182" s="3">
        <v>12.27</v>
      </c>
      <c r="J182" s="3">
        <v>0.17</v>
      </c>
      <c r="K182" s="3">
        <v>0.46</v>
      </c>
      <c r="L182" s="3">
        <v>0.04</v>
      </c>
      <c r="M182" s="3">
        <v>16.3</v>
      </c>
      <c r="N182" s="3">
        <v>0.13</v>
      </c>
      <c r="O182" s="3">
        <v>0.36</v>
      </c>
      <c r="P182" s="3">
        <v>0.02</v>
      </c>
      <c r="Q182" s="3">
        <v>9.67</v>
      </c>
      <c r="R182" s="3">
        <v>0.14000000000000001</v>
      </c>
      <c r="S182" s="3">
        <v>5.74</v>
      </c>
      <c r="T182" s="3">
        <v>0.06</v>
      </c>
      <c r="U182" s="3">
        <v>2.4500000000000002</v>
      </c>
      <c r="V182" s="3">
        <v>0.23</v>
      </c>
      <c r="W182" s="3">
        <v>0.45</v>
      </c>
      <c r="X182" s="3">
        <v>0.06</v>
      </c>
      <c r="Y182" s="3">
        <v>0.79</v>
      </c>
      <c r="Z182" s="3">
        <v>0.08</v>
      </c>
      <c r="AA182" s="3">
        <v>3.29</v>
      </c>
      <c r="AB182" s="3">
        <v>7.0000000000000007E-2</v>
      </c>
      <c r="AC182" s="3">
        <v>0.5</v>
      </c>
      <c r="AD182" s="3">
        <v>0.02</v>
      </c>
      <c r="AE182" s="3">
        <v>310</v>
      </c>
      <c r="AF182" s="3">
        <v>52</v>
      </c>
      <c r="AG182" s="3">
        <v>182</v>
      </c>
      <c r="AH182" s="3">
        <v>17</v>
      </c>
      <c r="AI182" s="3">
        <v>31</v>
      </c>
      <c r="AJ182" s="3">
        <v>17</v>
      </c>
    </row>
    <row r="183" spans="1:36" x14ac:dyDescent="0.25">
      <c r="A183" s="7">
        <v>2089</v>
      </c>
      <c r="B183" s="3" t="s">
        <v>4</v>
      </c>
      <c r="C183" s="3" t="s">
        <v>474</v>
      </c>
      <c r="D183" s="3"/>
      <c r="E183" s="3">
        <v>47.3</v>
      </c>
      <c r="F183" s="3">
        <v>0.48</v>
      </c>
      <c r="G183" s="3">
        <v>0.63</v>
      </c>
      <c r="H183" s="3">
        <v>7.0000000000000007E-2</v>
      </c>
      <c r="I183" s="3">
        <v>12.48</v>
      </c>
      <c r="J183" s="3">
        <v>0.17</v>
      </c>
      <c r="K183" s="3">
        <v>0.56000000000000005</v>
      </c>
      <c r="L183" s="3">
        <v>0.04</v>
      </c>
      <c r="M183" s="3">
        <v>16.2</v>
      </c>
      <c r="N183" s="3">
        <v>0.13</v>
      </c>
      <c r="O183" s="3">
        <v>0.35</v>
      </c>
      <c r="P183" s="3">
        <v>0.01</v>
      </c>
      <c r="Q183" s="3">
        <v>11.11</v>
      </c>
      <c r="R183" s="3">
        <v>0.15</v>
      </c>
      <c r="S183" s="3">
        <v>5.13</v>
      </c>
      <c r="T183" s="3">
        <v>0.05</v>
      </c>
      <c r="U183" s="3">
        <v>2.71</v>
      </c>
      <c r="V183" s="3">
        <v>0.23</v>
      </c>
      <c r="W183" s="3">
        <v>0.51</v>
      </c>
      <c r="X183" s="3">
        <v>0.06</v>
      </c>
      <c r="Y183" s="3">
        <v>0.67</v>
      </c>
      <c r="Z183" s="3">
        <v>0.08</v>
      </c>
      <c r="AA183" s="3">
        <v>1.92</v>
      </c>
      <c r="AB183" s="3">
        <v>0.05</v>
      </c>
      <c r="AC183" s="3">
        <v>0.34</v>
      </c>
      <c r="AD183" s="3">
        <v>0.01</v>
      </c>
      <c r="AE183" s="3">
        <v>147</v>
      </c>
      <c r="AF183" s="3">
        <v>47</v>
      </c>
      <c r="AG183" s="3">
        <v>152</v>
      </c>
      <c r="AH183" s="3">
        <v>16</v>
      </c>
      <c r="AI183" s="3">
        <v>12</v>
      </c>
      <c r="AJ183" s="3">
        <v>16</v>
      </c>
    </row>
    <row r="184" spans="1:36" x14ac:dyDescent="0.25">
      <c r="A184" s="7">
        <v>2090</v>
      </c>
      <c r="B184" s="3" t="s">
        <v>4</v>
      </c>
      <c r="C184" s="3" t="s">
        <v>469</v>
      </c>
      <c r="D184" s="3"/>
      <c r="E184" s="3">
        <v>47.3</v>
      </c>
      <c r="F184" s="3">
        <v>0.48</v>
      </c>
      <c r="G184" s="3">
        <v>0.65</v>
      </c>
      <c r="H184" s="3">
        <v>7.0000000000000007E-2</v>
      </c>
      <c r="I184" s="3">
        <v>12.45</v>
      </c>
      <c r="J184" s="3">
        <v>0.22</v>
      </c>
      <c r="K184" s="3">
        <v>0.56000000000000005</v>
      </c>
      <c r="L184" s="3">
        <v>0.04</v>
      </c>
      <c r="M184" s="3">
        <v>16.3</v>
      </c>
      <c r="N184" s="3">
        <v>0.13</v>
      </c>
      <c r="O184" s="3">
        <v>0.33</v>
      </c>
      <c r="P184" s="3">
        <v>0.01</v>
      </c>
      <c r="Q184" s="3">
        <v>10.99</v>
      </c>
      <c r="R184" s="3">
        <v>0.17</v>
      </c>
      <c r="S184" s="3">
        <v>5.18</v>
      </c>
      <c r="T184" s="3">
        <v>0.05</v>
      </c>
      <c r="U184" s="3">
        <v>2.7</v>
      </c>
      <c r="V184" s="3">
        <v>0.25</v>
      </c>
      <c r="W184" s="3">
        <v>0.51</v>
      </c>
      <c r="X184" s="3">
        <v>0.06</v>
      </c>
      <c r="Y184" s="3">
        <v>0.7</v>
      </c>
      <c r="Z184" s="3">
        <v>0.08</v>
      </c>
      <c r="AA184" s="3">
        <v>1.91</v>
      </c>
      <c r="AB184" s="3">
        <v>0.05</v>
      </c>
      <c r="AC184" s="3">
        <v>0.33</v>
      </c>
      <c r="AD184" s="3">
        <v>0.01</v>
      </c>
      <c r="AE184" s="3">
        <v>201</v>
      </c>
      <c r="AF184" s="3">
        <v>47</v>
      </c>
      <c r="AG184" s="3">
        <v>174</v>
      </c>
      <c r="AH184" s="3">
        <v>16</v>
      </c>
      <c r="AI184" s="3">
        <v>24</v>
      </c>
      <c r="AJ184" s="3">
        <v>16</v>
      </c>
    </row>
    <row r="185" spans="1:36" x14ac:dyDescent="0.25">
      <c r="A185" s="7">
        <v>2112</v>
      </c>
      <c r="B185" s="3" t="s">
        <v>6</v>
      </c>
      <c r="C185" s="3" t="s">
        <v>475</v>
      </c>
      <c r="D185" s="3"/>
      <c r="E185" s="3">
        <v>45</v>
      </c>
      <c r="F185" s="3">
        <v>0.47</v>
      </c>
      <c r="G185" s="3">
        <v>0.64</v>
      </c>
      <c r="H185" s="3">
        <v>7.0000000000000007E-2</v>
      </c>
      <c r="I185" s="3">
        <v>9.82</v>
      </c>
      <c r="J185" s="3">
        <v>0.16</v>
      </c>
      <c r="K185" s="3">
        <v>0.6</v>
      </c>
      <c r="L185" s="3">
        <v>0.04</v>
      </c>
      <c r="M185" s="3">
        <v>18.8</v>
      </c>
      <c r="N185" s="3">
        <v>0.14000000000000001</v>
      </c>
      <c r="O185" s="3">
        <v>0.38</v>
      </c>
      <c r="P185" s="3">
        <v>0.01</v>
      </c>
      <c r="Q185" s="3">
        <v>14.88</v>
      </c>
      <c r="R185" s="3">
        <v>0.21</v>
      </c>
      <c r="S185" s="3">
        <v>5.44</v>
      </c>
      <c r="T185" s="3">
        <v>0.05</v>
      </c>
      <c r="U185" s="3">
        <v>2.3199999999999998</v>
      </c>
      <c r="V185" s="3">
        <v>0.37</v>
      </c>
      <c r="W185" s="3">
        <v>0.33</v>
      </c>
      <c r="X185" s="3">
        <v>0.06</v>
      </c>
      <c r="Y185" s="3">
        <v>0.71</v>
      </c>
      <c r="Z185" s="3">
        <v>0.08</v>
      </c>
      <c r="AA185" s="3">
        <v>0.8</v>
      </c>
      <c r="AB185" s="3">
        <v>0.03</v>
      </c>
      <c r="AC185" s="3">
        <v>0.23</v>
      </c>
      <c r="AD185" s="3">
        <v>0.01</v>
      </c>
      <c r="AE185" s="3">
        <v>371</v>
      </c>
      <c r="AF185" s="3">
        <v>51</v>
      </c>
      <c r="AG185" s="3">
        <v>261</v>
      </c>
      <c r="AH185" s="3">
        <v>18</v>
      </c>
      <c r="AI185" s="3">
        <v>29</v>
      </c>
      <c r="AJ185" s="3">
        <v>17</v>
      </c>
    </row>
    <row r="186" spans="1:36" x14ac:dyDescent="0.25">
      <c r="A186" s="7">
        <v>2117</v>
      </c>
      <c r="B186" s="3" t="s">
        <v>297</v>
      </c>
      <c r="C186" s="3" t="s">
        <v>476</v>
      </c>
      <c r="D186" s="3"/>
      <c r="E186" s="3">
        <v>45.2</v>
      </c>
      <c r="F186" s="3">
        <v>0.45</v>
      </c>
      <c r="G186" s="3">
        <v>0.56999999999999995</v>
      </c>
      <c r="H186" s="3">
        <v>7.0000000000000007E-2</v>
      </c>
      <c r="I186" s="3">
        <v>10.76</v>
      </c>
      <c r="J186" s="3">
        <v>0.15</v>
      </c>
      <c r="K186" s="3">
        <v>0.6</v>
      </c>
      <c r="L186" s="3">
        <v>0.04</v>
      </c>
      <c r="M186" s="3">
        <v>17.7</v>
      </c>
      <c r="N186" s="3">
        <v>0.14000000000000001</v>
      </c>
      <c r="O186" s="3">
        <v>0.38</v>
      </c>
      <c r="P186" s="3">
        <v>0.01</v>
      </c>
      <c r="Q186" s="3">
        <v>14.21</v>
      </c>
      <c r="R186" s="3">
        <v>0.17</v>
      </c>
      <c r="S186" s="3">
        <v>5.55</v>
      </c>
      <c r="T186" s="3">
        <v>0.06</v>
      </c>
      <c r="U186" s="3">
        <v>2.41</v>
      </c>
      <c r="V186" s="3">
        <v>0.22</v>
      </c>
      <c r="W186" s="3">
        <v>0.38</v>
      </c>
      <c r="X186" s="3">
        <v>0.06</v>
      </c>
      <c r="Y186" s="3">
        <v>0.97</v>
      </c>
      <c r="Z186" s="3">
        <v>0.08</v>
      </c>
      <c r="AA186" s="3">
        <v>0.91</v>
      </c>
      <c r="AB186" s="3">
        <v>0.03</v>
      </c>
      <c r="AC186" s="3">
        <v>0.28999999999999998</v>
      </c>
      <c r="AD186" s="3">
        <v>0.01</v>
      </c>
      <c r="AE186" s="3">
        <v>255</v>
      </c>
      <c r="AF186" s="3">
        <v>50</v>
      </c>
      <c r="AG186" s="3">
        <v>200</v>
      </c>
      <c r="AH186" s="3">
        <v>17</v>
      </c>
      <c r="AI186" s="3">
        <v>25</v>
      </c>
      <c r="AJ186" s="3">
        <v>16</v>
      </c>
    </row>
    <row r="187" spans="1:36" x14ac:dyDescent="0.25">
      <c r="A187" s="7">
        <v>2118</v>
      </c>
      <c r="B187" s="3" t="s">
        <v>297</v>
      </c>
      <c r="C187" s="3" t="s">
        <v>477</v>
      </c>
      <c r="D187" s="3"/>
      <c r="E187" s="3">
        <v>45.1</v>
      </c>
      <c r="F187" s="3">
        <v>0.46</v>
      </c>
      <c r="G187" s="3">
        <v>0.65</v>
      </c>
      <c r="H187" s="3">
        <v>7.0000000000000007E-2</v>
      </c>
      <c r="I187" s="3">
        <v>10.24</v>
      </c>
      <c r="J187" s="3">
        <v>0.15</v>
      </c>
      <c r="K187" s="3">
        <v>0.63</v>
      </c>
      <c r="L187" s="3">
        <v>0.04</v>
      </c>
      <c r="M187" s="3">
        <v>18.600000000000001</v>
      </c>
      <c r="N187" s="3">
        <v>0.14000000000000001</v>
      </c>
      <c r="O187" s="3">
        <v>0.39</v>
      </c>
      <c r="P187" s="3">
        <v>0.02</v>
      </c>
      <c r="Q187" s="3">
        <v>14.07</v>
      </c>
      <c r="R187" s="3">
        <v>0.17</v>
      </c>
      <c r="S187" s="3">
        <v>5.39</v>
      </c>
      <c r="T187" s="3">
        <v>0.06</v>
      </c>
      <c r="U187" s="3">
        <v>2.35</v>
      </c>
      <c r="V187" s="3">
        <v>0.22</v>
      </c>
      <c r="W187" s="3">
        <v>0.38</v>
      </c>
      <c r="X187" s="3">
        <v>0.06</v>
      </c>
      <c r="Y187" s="3">
        <v>0.8</v>
      </c>
      <c r="Z187" s="3">
        <v>0.08</v>
      </c>
      <c r="AA187" s="3">
        <v>1.04</v>
      </c>
      <c r="AB187" s="3">
        <v>0.04</v>
      </c>
      <c r="AC187" s="3">
        <v>0.25</v>
      </c>
      <c r="AD187" s="3">
        <v>0.01</v>
      </c>
      <c r="AE187" s="3">
        <v>409</v>
      </c>
      <c r="AF187" s="3">
        <v>54</v>
      </c>
      <c r="AG187" s="3">
        <v>289</v>
      </c>
      <c r="AH187" s="3">
        <v>20</v>
      </c>
      <c r="AI187" s="3">
        <v>32</v>
      </c>
      <c r="AJ187" s="3">
        <v>17</v>
      </c>
    </row>
    <row r="188" spans="1:36" x14ac:dyDescent="0.25">
      <c r="A188" s="7">
        <v>2120</v>
      </c>
      <c r="B188" s="3" t="s">
        <v>297</v>
      </c>
      <c r="C188" s="3" t="s">
        <v>478</v>
      </c>
      <c r="D188" s="3"/>
      <c r="E188" s="3">
        <v>44.2</v>
      </c>
      <c r="F188" s="3">
        <v>0.44</v>
      </c>
      <c r="G188" s="3">
        <v>0.6</v>
      </c>
      <c r="H188" s="3">
        <v>7.0000000000000007E-2</v>
      </c>
      <c r="I188" s="3">
        <v>9.4499999999999993</v>
      </c>
      <c r="J188" s="3">
        <v>0.13</v>
      </c>
      <c r="K188" s="3">
        <v>0.61</v>
      </c>
      <c r="L188" s="3">
        <v>0.04</v>
      </c>
      <c r="M188" s="3">
        <v>19.5</v>
      </c>
      <c r="N188" s="3">
        <v>0.15</v>
      </c>
      <c r="O188" s="3">
        <v>0.41</v>
      </c>
      <c r="P188" s="3">
        <v>0.02</v>
      </c>
      <c r="Q188" s="3">
        <v>15.19</v>
      </c>
      <c r="R188" s="3">
        <v>0.18</v>
      </c>
      <c r="S188" s="3">
        <v>5.0599999999999996</v>
      </c>
      <c r="T188" s="3">
        <v>0.05</v>
      </c>
      <c r="U188" s="3">
        <v>2.4300000000000002</v>
      </c>
      <c r="V188" s="3">
        <v>0.22</v>
      </c>
      <c r="W188" s="3">
        <v>0.31</v>
      </c>
      <c r="X188" s="3">
        <v>0.06</v>
      </c>
      <c r="Y188" s="3">
        <v>0.83</v>
      </c>
      <c r="Z188" s="3">
        <v>0.08</v>
      </c>
      <c r="AA188" s="3">
        <v>1.05</v>
      </c>
      <c r="AB188" s="3">
        <v>0.04</v>
      </c>
      <c r="AC188" s="3">
        <v>0.25</v>
      </c>
      <c r="AD188" s="3">
        <v>0.01</v>
      </c>
      <c r="AE188" s="3">
        <v>395</v>
      </c>
      <c r="AF188" s="3">
        <v>53</v>
      </c>
      <c r="AG188" s="3">
        <v>253</v>
      </c>
      <c r="AH188" s="3">
        <v>19</v>
      </c>
      <c r="AI188" s="3">
        <v>30</v>
      </c>
      <c r="AJ188" s="3">
        <v>19</v>
      </c>
    </row>
    <row r="189" spans="1:36" x14ac:dyDescent="0.25">
      <c r="A189" s="7">
        <v>2150</v>
      </c>
      <c r="B189" s="3" t="s">
        <v>4</v>
      </c>
      <c r="C189" s="3" t="s">
        <v>479</v>
      </c>
      <c r="D189" s="3"/>
      <c r="E189" s="3">
        <v>34</v>
      </c>
      <c r="F189" s="3">
        <v>0.41</v>
      </c>
      <c r="G189" s="3">
        <v>0.62</v>
      </c>
      <c r="H189" s="3">
        <v>7.0000000000000007E-2</v>
      </c>
      <c r="I189" s="3">
        <v>6.01</v>
      </c>
      <c r="J189" s="3">
        <v>0.12</v>
      </c>
      <c r="K189" s="3">
        <v>0.31</v>
      </c>
      <c r="L189" s="3">
        <v>0.04</v>
      </c>
      <c r="M189" s="3">
        <v>37.299999999999997</v>
      </c>
      <c r="N189" s="3">
        <v>0.27</v>
      </c>
      <c r="O189" s="3">
        <v>0.24</v>
      </c>
      <c r="P189" s="3">
        <v>0.02</v>
      </c>
      <c r="Q189" s="3">
        <v>5</v>
      </c>
      <c r="R189" s="3">
        <v>0.14000000000000001</v>
      </c>
      <c r="S189" s="3">
        <v>3.7</v>
      </c>
      <c r="T189" s="3">
        <v>0.05</v>
      </c>
      <c r="U189" s="3">
        <v>2.0099999999999998</v>
      </c>
      <c r="V189" s="3">
        <v>0.32</v>
      </c>
      <c r="W189" s="3">
        <v>0.37</v>
      </c>
      <c r="X189" s="3">
        <v>0.06</v>
      </c>
      <c r="Y189" s="3">
        <v>0.81</v>
      </c>
      <c r="Z189" s="3">
        <v>0.08</v>
      </c>
      <c r="AA189" s="3">
        <v>8.75</v>
      </c>
      <c r="AB189" s="3">
        <v>0.14000000000000001</v>
      </c>
      <c r="AC189" s="3">
        <v>0.72</v>
      </c>
      <c r="AD189" s="3">
        <v>0.02</v>
      </c>
      <c r="AE189" s="3">
        <v>1269</v>
      </c>
      <c r="AF189" s="3">
        <v>90</v>
      </c>
      <c r="AG189" s="3">
        <v>342</v>
      </c>
      <c r="AH189" s="3">
        <v>29</v>
      </c>
      <c r="AI189" s="3">
        <v>65</v>
      </c>
      <c r="AJ189" s="3">
        <v>24</v>
      </c>
    </row>
    <row r="190" spans="1:36" x14ac:dyDescent="0.25">
      <c r="A190" s="7">
        <v>2155</v>
      </c>
      <c r="B190" s="3" t="s">
        <v>4</v>
      </c>
      <c r="C190" s="3" t="s">
        <v>480</v>
      </c>
      <c r="D190" s="3"/>
      <c r="E190" s="3">
        <v>38</v>
      </c>
      <c r="F190" s="3">
        <v>0.44</v>
      </c>
      <c r="G190" s="3">
        <v>0.81</v>
      </c>
      <c r="H190" s="3">
        <v>0.08</v>
      </c>
      <c r="I190" s="3">
        <v>6.98</v>
      </c>
      <c r="J190" s="3">
        <v>0.17</v>
      </c>
      <c r="K190" s="3">
        <v>0.19</v>
      </c>
      <c r="L190" s="3">
        <v>0.04</v>
      </c>
      <c r="M190" s="3">
        <v>18.7</v>
      </c>
      <c r="N190" s="3">
        <v>0.16</v>
      </c>
      <c r="O190" s="3">
        <v>0.32</v>
      </c>
      <c r="P190" s="3">
        <v>0.02</v>
      </c>
      <c r="Q190" s="3">
        <v>6.93</v>
      </c>
      <c r="R190" s="3">
        <v>0.14000000000000001</v>
      </c>
      <c r="S190" s="3">
        <v>5.35</v>
      </c>
      <c r="T190" s="3">
        <v>0.06</v>
      </c>
      <c r="U190" s="3">
        <v>1.89</v>
      </c>
      <c r="V190" s="3">
        <v>0.24</v>
      </c>
      <c r="W190" s="3">
        <v>0.55000000000000004</v>
      </c>
      <c r="X190" s="3">
        <v>7.0000000000000007E-2</v>
      </c>
      <c r="Y190" s="3">
        <v>0.98</v>
      </c>
      <c r="Z190" s="3">
        <v>0.1</v>
      </c>
      <c r="AA190" s="3">
        <v>18.38</v>
      </c>
      <c r="AB190" s="3">
        <v>0.24</v>
      </c>
      <c r="AC190" s="3">
        <v>0.8</v>
      </c>
      <c r="AD190" s="3">
        <v>0.02</v>
      </c>
      <c r="AE190" s="3">
        <v>403</v>
      </c>
      <c r="AF190" s="3">
        <v>63</v>
      </c>
      <c r="AG190" s="3">
        <v>550</v>
      </c>
      <c r="AH190" s="3">
        <v>31</v>
      </c>
      <c r="AI190" s="3">
        <v>92</v>
      </c>
      <c r="AJ190" s="3">
        <v>20</v>
      </c>
    </row>
    <row r="191" spans="1:36" x14ac:dyDescent="0.25">
      <c r="A191" s="7">
        <v>2157</v>
      </c>
      <c r="B191" s="3" t="s">
        <v>4</v>
      </c>
      <c r="C191" s="3" t="s">
        <v>481</v>
      </c>
      <c r="D191" s="3"/>
      <c r="E191" s="3">
        <v>39.5</v>
      </c>
      <c r="F191" s="3">
        <v>0.43</v>
      </c>
      <c r="G191" s="3">
        <v>0.88</v>
      </c>
      <c r="H191" s="3">
        <v>7.0000000000000007E-2</v>
      </c>
      <c r="I191" s="3">
        <v>7.14</v>
      </c>
      <c r="J191" s="3">
        <v>0.12</v>
      </c>
      <c r="K191" s="3">
        <v>0.21</v>
      </c>
      <c r="L191" s="3">
        <v>0.04</v>
      </c>
      <c r="M191" s="3">
        <v>18.399999999999999</v>
      </c>
      <c r="N191" s="3">
        <v>0.15</v>
      </c>
      <c r="O191" s="3">
        <v>0.33</v>
      </c>
      <c r="P191" s="3">
        <v>0.02</v>
      </c>
      <c r="Q191" s="3">
        <v>6.5</v>
      </c>
      <c r="R191" s="3">
        <v>0.13</v>
      </c>
      <c r="S191" s="3">
        <v>5.53</v>
      </c>
      <c r="T191" s="3">
        <v>0.06</v>
      </c>
      <c r="U191" s="3">
        <v>1.95</v>
      </c>
      <c r="V191" s="3">
        <v>0.27</v>
      </c>
      <c r="W191" s="3">
        <v>0.54</v>
      </c>
      <c r="X191" s="3">
        <v>0.06</v>
      </c>
      <c r="Y191" s="3">
        <v>1</v>
      </c>
      <c r="Z191" s="3">
        <v>0.09</v>
      </c>
      <c r="AA191" s="3">
        <v>17.12</v>
      </c>
      <c r="AB191" s="3">
        <v>0.21</v>
      </c>
      <c r="AC191" s="3">
        <v>0.82</v>
      </c>
      <c r="AD191" s="3">
        <v>0.02</v>
      </c>
      <c r="AE191" s="3">
        <v>438</v>
      </c>
      <c r="AF191" s="3">
        <v>59</v>
      </c>
      <c r="AG191" s="3">
        <v>478</v>
      </c>
      <c r="AH191" s="3">
        <v>26</v>
      </c>
      <c r="AI191" s="3">
        <v>66</v>
      </c>
      <c r="AJ191" s="3">
        <v>21</v>
      </c>
    </row>
    <row r="192" spans="1:36" x14ac:dyDescent="0.25">
      <c r="A192" s="7">
        <v>2224</v>
      </c>
      <c r="B192" s="3" t="s">
        <v>3</v>
      </c>
      <c r="C192" s="3" t="s">
        <v>482</v>
      </c>
      <c r="D192" s="3"/>
      <c r="E192" s="3">
        <v>39.4</v>
      </c>
      <c r="F192" s="3">
        <v>0.4</v>
      </c>
      <c r="G192" s="3">
        <v>0.78</v>
      </c>
      <c r="H192" s="3">
        <v>7.0000000000000007E-2</v>
      </c>
      <c r="I192" s="3">
        <v>7.78</v>
      </c>
      <c r="J192" s="3">
        <v>0.11</v>
      </c>
      <c r="K192" s="3">
        <v>0.32</v>
      </c>
      <c r="L192" s="3">
        <v>0.04</v>
      </c>
      <c r="M192" s="3">
        <v>29.6</v>
      </c>
      <c r="N192" s="3">
        <v>0.2</v>
      </c>
      <c r="O192" s="3">
        <v>0.26</v>
      </c>
      <c r="P192" s="3">
        <v>0.01</v>
      </c>
      <c r="Q192" s="3">
        <v>6.4</v>
      </c>
      <c r="R192" s="3">
        <v>0.1</v>
      </c>
      <c r="S192" s="3">
        <v>5.55</v>
      </c>
      <c r="T192" s="3">
        <v>0.05</v>
      </c>
      <c r="U192" s="3">
        <v>2.27</v>
      </c>
      <c r="V192" s="3">
        <v>0.19</v>
      </c>
      <c r="W192" s="3">
        <v>0.39</v>
      </c>
      <c r="X192" s="3">
        <v>0.06</v>
      </c>
      <c r="Y192" s="3">
        <v>0.83</v>
      </c>
      <c r="Z192" s="3">
        <v>0.08</v>
      </c>
      <c r="AA192" s="3">
        <v>5.54</v>
      </c>
      <c r="AB192" s="3">
        <v>0.09</v>
      </c>
      <c r="AC192" s="3">
        <v>0.72</v>
      </c>
      <c r="AD192" s="3">
        <v>0.02</v>
      </c>
      <c r="AE192" s="3">
        <v>716</v>
      </c>
      <c r="AF192" s="3">
        <v>63</v>
      </c>
      <c r="AG192" s="3">
        <v>332</v>
      </c>
      <c r="AH192" s="3">
        <v>22</v>
      </c>
      <c r="AI192" s="3">
        <v>55</v>
      </c>
      <c r="AJ192" s="3">
        <v>19</v>
      </c>
    </row>
    <row r="193" spans="1:36" x14ac:dyDescent="0.25">
      <c r="A193" s="7">
        <v>2297</v>
      </c>
      <c r="B193" s="3" t="s">
        <v>8</v>
      </c>
      <c r="C193" s="3" t="s">
        <v>483</v>
      </c>
      <c r="D193" s="3"/>
      <c r="E193" s="3">
        <v>36.1</v>
      </c>
      <c r="F193" s="3">
        <v>0.43</v>
      </c>
      <c r="G193" s="3">
        <v>0.59</v>
      </c>
      <c r="H193" s="3">
        <v>7.0000000000000007E-2</v>
      </c>
      <c r="I193" s="3">
        <v>6.92</v>
      </c>
      <c r="J193" s="3">
        <v>0.14000000000000001</v>
      </c>
      <c r="K193" s="3">
        <v>0.28000000000000003</v>
      </c>
      <c r="L193" s="3">
        <v>0.04</v>
      </c>
      <c r="M193" s="3">
        <v>35.4</v>
      </c>
      <c r="N193" s="3">
        <v>0.26</v>
      </c>
      <c r="O193" s="3">
        <v>0.28999999999999998</v>
      </c>
      <c r="P193" s="3">
        <v>0.02</v>
      </c>
      <c r="Q193" s="3">
        <v>6.1</v>
      </c>
      <c r="R193" s="3">
        <v>0.17</v>
      </c>
      <c r="S193" s="3">
        <v>4.5599999999999996</v>
      </c>
      <c r="T193" s="3">
        <v>0.06</v>
      </c>
      <c r="U193" s="3">
        <v>2.09</v>
      </c>
      <c r="V193" s="3">
        <v>0.36</v>
      </c>
      <c r="W193" s="3">
        <v>0.33</v>
      </c>
      <c r="X193" s="3">
        <v>0.06</v>
      </c>
      <c r="Y193" s="3">
        <v>0.8</v>
      </c>
      <c r="Z193" s="3">
        <v>0.09</v>
      </c>
      <c r="AA193" s="3">
        <v>5.54</v>
      </c>
      <c r="AB193" s="3">
        <v>0.11</v>
      </c>
      <c r="AC193" s="3">
        <v>0.73</v>
      </c>
      <c r="AD193" s="3">
        <v>0.02</v>
      </c>
      <c r="AE193" s="3">
        <v>1202</v>
      </c>
      <c r="AF193" s="3">
        <v>90</v>
      </c>
      <c r="AG193" s="3">
        <v>426</v>
      </c>
      <c r="AH193" s="3">
        <v>32</v>
      </c>
      <c r="AI193" s="3">
        <v>90</v>
      </c>
      <c r="AJ193" s="3">
        <v>22</v>
      </c>
    </row>
    <row r="194" spans="1:36" x14ac:dyDescent="0.25">
      <c r="A194" s="7">
        <v>2317</v>
      </c>
      <c r="B194" s="3" t="s">
        <v>4</v>
      </c>
      <c r="C194" s="3" t="s">
        <v>484</v>
      </c>
      <c r="D194" s="3"/>
      <c r="E194" s="3">
        <v>42.7</v>
      </c>
      <c r="F194" s="3">
        <v>0.45</v>
      </c>
      <c r="G194" s="3">
        <v>0.9</v>
      </c>
      <c r="H194" s="3">
        <v>0.08</v>
      </c>
      <c r="I194" s="3">
        <v>8.25</v>
      </c>
      <c r="J194" s="3">
        <v>0.13</v>
      </c>
      <c r="K194" s="3">
        <v>0.24</v>
      </c>
      <c r="L194" s="3">
        <v>0.04</v>
      </c>
      <c r="M194" s="3">
        <v>17.7</v>
      </c>
      <c r="N194" s="3">
        <v>0.14000000000000001</v>
      </c>
      <c r="O194" s="3">
        <v>0.33</v>
      </c>
      <c r="P194" s="3">
        <v>0.02</v>
      </c>
      <c r="Q194" s="3">
        <v>7.22</v>
      </c>
      <c r="R194" s="3">
        <v>0.12</v>
      </c>
      <c r="S194" s="3">
        <v>5.92</v>
      </c>
      <c r="T194" s="3">
        <v>0.06</v>
      </c>
      <c r="U194" s="3">
        <v>2.13</v>
      </c>
      <c r="V194" s="3">
        <v>0.23</v>
      </c>
      <c r="W194" s="3">
        <v>0.54</v>
      </c>
      <c r="X194" s="3">
        <v>0.06</v>
      </c>
      <c r="Y194" s="3">
        <v>1.01</v>
      </c>
      <c r="Z194" s="3">
        <v>0.09</v>
      </c>
      <c r="AA194" s="3">
        <v>11.9</v>
      </c>
      <c r="AB194" s="3">
        <v>0.16</v>
      </c>
      <c r="AC194" s="3">
        <v>0.96</v>
      </c>
      <c r="AD194" s="3">
        <v>0.02</v>
      </c>
      <c r="AE194" s="3">
        <v>438</v>
      </c>
      <c r="AF194" s="3">
        <v>59</v>
      </c>
      <c r="AG194" s="3">
        <v>552</v>
      </c>
      <c r="AH194" s="3">
        <v>27</v>
      </c>
      <c r="AI194" s="3">
        <v>114</v>
      </c>
      <c r="AJ194" s="3">
        <v>20</v>
      </c>
    </row>
    <row r="195" spans="1:36" x14ac:dyDescent="0.25">
      <c r="A195" s="7">
        <v>2340</v>
      </c>
      <c r="B195" s="3" t="s">
        <v>4</v>
      </c>
      <c r="C195" s="3" t="s">
        <v>485</v>
      </c>
      <c r="D195" s="3"/>
      <c r="E195" s="3">
        <v>42.2</v>
      </c>
      <c r="F195" s="3">
        <v>0.32</v>
      </c>
      <c r="G195" s="3">
        <v>0.94</v>
      </c>
      <c r="H195" s="3">
        <v>7.0000000000000007E-2</v>
      </c>
      <c r="I195" s="3">
        <v>8.2100000000000009</v>
      </c>
      <c r="J195" s="3">
        <v>0.11</v>
      </c>
      <c r="K195" s="3">
        <v>0.24</v>
      </c>
      <c r="L195" s="3">
        <v>0.04</v>
      </c>
      <c r="M195" s="3">
        <v>17.100000000000001</v>
      </c>
      <c r="N195" s="3">
        <v>0.09</v>
      </c>
      <c r="O195" s="3">
        <v>0.33</v>
      </c>
      <c r="P195" s="3">
        <v>0.01</v>
      </c>
      <c r="Q195" s="3">
        <v>7.32</v>
      </c>
      <c r="R195" s="3">
        <v>0.1</v>
      </c>
      <c r="S195" s="3">
        <v>6.12</v>
      </c>
      <c r="T195" s="3">
        <v>0.06</v>
      </c>
      <c r="U195" s="3">
        <v>2.13</v>
      </c>
      <c r="V195" s="3">
        <v>0.2</v>
      </c>
      <c r="W195" s="3">
        <v>0.52</v>
      </c>
      <c r="X195" s="3">
        <v>0.06</v>
      </c>
      <c r="Y195" s="3">
        <v>1.01</v>
      </c>
      <c r="Z195" s="3">
        <v>0.08</v>
      </c>
      <c r="AA195" s="3">
        <v>12.9</v>
      </c>
      <c r="AB195" s="3">
        <v>0.15</v>
      </c>
      <c r="AC195" s="3">
        <v>0.83</v>
      </c>
      <c r="AD195" s="3">
        <v>0.02</v>
      </c>
      <c r="AE195" s="3">
        <v>466</v>
      </c>
      <c r="AF195" s="3">
        <v>60</v>
      </c>
      <c r="AG195" s="3">
        <v>481</v>
      </c>
      <c r="AH195" s="3">
        <v>25</v>
      </c>
      <c r="AI195" s="3">
        <v>122</v>
      </c>
      <c r="AJ195" s="3">
        <v>19</v>
      </c>
    </row>
    <row r="196" spans="1:36" x14ac:dyDescent="0.25">
      <c r="A196" s="7">
        <v>2341</v>
      </c>
      <c r="B196" s="3" t="s">
        <v>4</v>
      </c>
      <c r="C196" s="3" t="s">
        <v>486</v>
      </c>
      <c r="D196" s="3"/>
      <c r="E196" s="3">
        <v>42.1</v>
      </c>
      <c r="F196" s="3">
        <v>0.44</v>
      </c>
      <c r="G196" s="3">
        <v>0.85</v>
      </c>
      <c r="H196" s="3">
        <v>0.08</v>
      </c>
      <c r="I196" s="3">
        <v>7.85</v>
      </c>
      <c r="J196" s="3">
        <v>0.17</v>
      </c>
      <c r="K196" s="3">
        <v>0.23</v>
      </c>
      <c r="L196" s="3">
        <v>0.04</v>
      </c>
      <c r="M196" s="3">
        <v>17.100000000000001</v>
      </c>
      <c r="N196" s="3">
        <v>0.13</v>
      </c>
      <c r="O196" s="3">
        <v>0.3</v>
      </c>
      <c r="P196" s="3">
        <v>0.01</v>
      </c>
      <c r="Q196" s="3">
        <v>7.31</v>
      </c>
      <c r="R196" s="3">
        <v>0.13</v>
      </c>
      <c r="S196" s="3">
        <v>5.74</v>
      </c>
      <c r="T196" s="3">
        <v>0.06</v>
      </c>
      <c r="U196" s="3">
        <v>2.11</v>
      </c>
      <c r="V196" s="3">
        <v>0.23</v>
      </c>
      <c r="W196" s="3">
        <v>0.56000000000000005</v>
      </c>
      <c r="X196" s="3">
        <v>0.06</v>
      </c>
      <c r="Y196" s="3">
        <v>1.05</v>
      </c>
      <c r="Z196" s="3">
        <v>0.09</v>
      </c>
      <c r="AA196" s="3">
        <v>13.58</v>
      </c>
      <c r="AB196" s="3">
        <v>0.17</v>
      </c>
      <c r="AC196" s="3">
        <v>1.03</v>
      </c>
      <c r="AD196" s="3">
        <v>0.02</v>
      </c>
      <c r="AE196" s="3">
        <v>485</v>
      </c>
      <c r="AF196" s="3">
        <v>55</v>
      </c>
      <c r="AG196" s="3">
        <v>488</v>
      </c>
      <c r="AH196" s="3">
        <v>23</v>
      </c>
      <c r="AI196" s="3">
        <v>407</v>
      </c>
      <c r="AJ196" s="3">
        <v>24</v>
      </c>
    </row>
    <row r="197" spans="1:36" x14ac:dyDescent="0.25">
      <c r="A197" s="7">
        <v>2342</v>
      </c>
      <c r="B197" s="3" t="s">
        <v>4</v>
      </c>
      <c r="C197" s="3" t="s">
        <v>487</v>
      </c>
      <c r="D197" s="3"/>
      <c r="E197" s="3">
        <v>40.799999999999997</v>
      </c>
      <c r="F197" s="3">
        <v>0.32</v>
      </c>
      <c r="G197" s="3">
        <v>0.89</v>
      </c>
      <c r="H197" s="3">
        <v>7.0000000000000007E-2</v>
      </c>
      <c r="I197" s="3">
        <v>7.68</v>
      </c>
      <c r="J197" s="3">
        <v>0.1</v>
      </c>
      <c r="K197" s="3">
        <v>0.21</v>
      </c>
      <c r="L197" s="3">
        <v>0.04</v>
      </c>
      <c r="M197" s="3">
        <v>20.3</v>
      </c>
      <c r="N197" s="3">
        <v>0.11</v>
      </c>
      <c r="O197" s="3">
        <v>0.33</v>
      </c>
      <c r="P197" s="3">
        <v>0.01</v>
      </c>
      <c r="Q197" s="3">
        <v>6.94</v>
      </c>
      <c r="R197" s="3">
        <v>0.1</v>
      </c>
      <c r="S197" s="3">
        <v>5.54</v>
      </c>
      <c r="T197" s="3">
        <v>0.06</v>
      </c>
      <c r="U197" s="3">
        <v>2.09</v>
      </c>
      <c r="V197" s="3">
        <v>0.21</v>
      </c>
      <c r="W197" s="3">
        <v>0.49</v>
      </c>
      <c r="X197" s="3">
        <v>0.06</v>
      </c>
      <c r="Y197" s="3">
        <v>0.98</v>
      </c>
      <c r="Z197" s="3">
        <v>0.08</v>
      </c>
      <c r="AA197" s="3">
        <v>12.76</v>
      </c>
      <c r="AB197" s="3">
        <v>0.15</v>
      </c>
      <c r="AC197" s="3">
        <v>0.83</v>
      </c>
      <c r="AD197" s="3">
        <v>0.02</v>
      </c>
      <c r="AE197" s="3">
        <v>580</v>
      </c>
      <c r="AF197" s="3">
        <v>65</v>
      </c>
      <c r="AG197" s="3">
        <v>511</v>
      </c>
      <c r="AH197" s="3">
        <v>28</v>
      </c>
      <c r="AI197" s="3">
        <v>242</v>
      </c>
      <c r="AJ197" s="3">
        <v>22</v>
      </c>
    </row>
    <row r="198" spans="1:36" x14ac:dyDescent="0.25">
      <c r="A198" s="7">
        <v>2399</v>
      </c>
      <c r="B198" s="3" t="s">
        <v>4</v>
      </c>
      <c r="C198" s="3" t="s">
        <v>488</v>
      </c>
      <c r="D198" s="3"/>
      <c r="E198" s="3">
        <v>41.5</v>
      </c>
      <c r="F198" s="3">
        <v>0.43</v>
      </c>
      <c r="G198" s="3">
        <v>0.87</v>
      </c>
      <c r="H198" s="3">
        <v>7.0000000000000007E-2</v>
      </c>
      <c r="I198" s="3">
        <v>7.87</v>
      </c>
      <c r="J198" s="3">
        <v>0.13</v>
      </c>
      <c r="K198" s="3">
        <v>0.21</v>
      </c>
      <c r="L198" s="3">
        <v>0.04</v>
      </c>
      <c r="M198" s="3">
        <v>18</v>
      </c>
      <c r="N198" s="3">
        <v>0.14000000000000001</v>
      </c>
      <c r="O198" s="3">
        <v>0.28999999999999998</v>
      </c>
      <c r="P198" s="3">
        <v>0.01</v>
      </c>
      <c r="Q198" s="3">
        <v>7</v>
      </c>
      <c r="R198" s="3">
        <v>0.11</v>
      </c>
      <c r="S198" s="3">
        <v>5.79</v>
      </c>
      <c r="T198" s="3">
        <v>0.06</v>
      </c>
      <c r="U198" s="3">
        <v>2.15</v>
      </c>
      <c r="V198" s="3">
        <v>0.22</v>
      </c>
      <c r="W198" s="3">
        <v>0.57999999999999996</v>
      </c>
      <c r="X198" s="3">
        <v>0.06</v>
      </c>
      <c r="Y198" s="3">
        <v>1.02</v>
      </c>
      <c r="Z198" s="3">
        <v>0.09</v>
      </c>
      <c r="AA198" s="3">
        <v>13.51</v>
      </c>
      <c r="AB198" s="3">
        <v>0.17</v>
      </c>
      <c r="AC198" s="3">
        <v>1.0900000000000001</v>
      </c>
      <c r="AD198" s="3">
        <v>0.03</v>
      </c>
      <c r="AE198" s="3">
        <v>462</v>
      </c>
      <c r="AF198" s="3">
        <v>57</v>
      </c>
      <c r="AG198" s="3">
        <v>510</v>
      </c>
      <c r="AH198" s="3">
        <v>25</v>
      </c>
      <c r="AI198" s="3">
        <v>93</v>
      </c>
      <c r="AJ198" s="3">
        <v>19</v>
      </c>
    </row>
    <row r="199" spans="1:36" x14ac:dyDescent="0.25">
      <c r="A199" s="7">
        <v>2481</v>
      </c>
      <c r="B199" s="3" t="s">
        <v>4</v>
      </c>
      <c r="C199" s="3" t="s">
        <v>489</v>
      </c>
      <c r="D199" s="3"/>
      <c r="E199" s="3">
        <v>43.6</v>
      </c>
      <c r="F199" s="3">
        <v>0.5</v>
      </c>
      <c r="G199" s="3">
        <v>0.94</v>
      </c>
      <c r="H199" s="3">
        <v>0.08</v>
      </c>
      <c r="I199" s="3">
        <v>8.6</v>
      </c>
      <c r="J199" s="3">
        <v>0.24</v>
      </c>
      <c r="K199" s="3">
        <v>0.26</v>
      </c>
      <c r="L199" s="3">
        <v>0.04</v>
      </c>
      <c r="M199" s="3">
        <v>18</v>
      </c>
      <c r="N199" s="3">
        <v>0.15</v>
      </c>
      <c r="O199" s="3">
        <v>0.32</v>
      </c>
      <c r="P199" s="3">
        <v>0.02</v>
      </c>
      <c r="Q199" s="3">
        <v>7.3</v>
      </c>
      <c r="R199" s="3">
        <v>0.16</v>
      </c>
      <c r="S199" s="3">
        <v>6.41</v>
      </c>
      <c r="T199" s="3">
        <v>7.0000000000000007E-2</v>
      </c>
      <c r="U199" s="3">
        <v>2.35</v>
      </c>
      <c r="V199" s="3">
        <v>0.26</v>
      </c>
      <c r="W199" s="3">
        <v>0.53</v>
      </c>
      <c r="X199" s="3">
        <v>7.0000000000000007E-2</v>
      </c>
      <c r="Y199" s="3">
        <v>1</v>
      </c>
      <c r="Z199" s="3">
        <v>0.1</v>
      </c>
      <c r="AA199" s="3">
        <v>9.61</v>
      </c>
      <c r="AB199" s="3">
        <v>0.15</v>
      </c>
      <c r="AC199" s="3">
        <v>0.9</v>
      </c>
      <c r="AD199" s="3">
        <v>0.03</v>
      </c>
      <c r="AE199" s="3">
        <v>570</v>
      </c>
      <c r="AF199" s="3">
        <v>64</v>
      </c>
      <c r="AG199" s="3">
        <v>514</v>
      </c>
      <c r="AH199" s="3">
        <v>29</v>
      </c>
      <c r="AI199" s="3">
        <v>147</v>
      </c>
      <c r="AJ199" s="3">
        <v>22</v>
      </c>
    </row>
    <row r="200" spans="1:36" x14ac:dyDescent="0.25">
      <c r="A200" s="7">
        <v>2483</v>
      </c>
      <c r="B200" s="3" t="s">
        <v>4</v>
      </c>
      <c r="C200" s="3" t="s">
        <v>490</v>
      </c>
      <c r="D200" s="3"/>
      <c r="E200" s="3">
        <v>43.5</v>
      </c>
      <c r="F200" s="3">
        <v>0.47</v>
      </c>
      <c r="G200" s="3">
        <v>1.01</v>
      </c>
      <c r="H200" s="3">
        <v>0.08</v>
      </c>
      <c r="I200" s="3">
        <v>8.6</v>
      </c>
      <c r="J200" s="3">
        <v>0.14000000000000001</v>
      </c>
      <c r="K200" s="3">
        <v>0.26</v>
      </c>
      <c r="L200" s="3">
        <v>0.04</v>
      </c>
      <c r="M200" s="3">
        <v>18.100000000000001</v>
      </c>
      <c r="N200" s="3">
        <v>0.16</v>
      </c>
      <c r="O200" s="3">
        <v>0.35</v>
      </c>
      <c r="P200" s="3">
        <v>0.02</v>
      </c>
      <c r="Q200" s="3">
        <v>7.28</v>
      </c>
      <c r="R200" s="3">
        <v>0.13</v>
      </c>
      <c r="S200" s="3">
        <v>6.42</v>
      </c>
      <c r="T200" s="3">
        <v>7.0000000000000007E-2</v>
      </c>
      <c r="U200" s="3">
        <v>2.2799999999999998</v>
      </c>
      <c r="V200" s="3">
        <v>0.23</v>
      </c>
      <c r="W200" s="3">
        <v>0.51</v>
      </c>
      <c r="X200" s="3">
        <v>0.06</v>
      </c>
      <c r="Y200" s="3">
        <v>0.97</v>
      </c>
      <c r="Z200" s="3">
        <v>0.09</v>
      </c>
      <c r="AA200" s="3">
        <v>9.7200000000000006</v>
      </c>
      <c r="AB200" s="3">
        <v>0.15</v>
      </c>
      <c r="AC200" s="3">
        <v>0.88</v>
      </c>
      <c r="AD200" s="3">
        <v>0.03</v>
      </c>
      <c r="AE200" s="3">
        <v>572</v>
      </c>
      <c r="AF200" s="3">
        <v>65</v>
      </c>
      <c r="AG200" s="3">
        <v>463</v>
      </c>
      <c r="AH200" s="3">
        <v>28</v>
      </c>
      <c r="AI200" s="3">
        <v>143</v>
      </c>
      <c r="AJ200" s="3">
        <v>21</v>
      </c>
    </row>
    <row r="201" spans="1:36" x14ac:dyDescent="0.25">
      <c r="A201" s="7">
        <v>2486</v>
      </c>
      <c r="B201" s="3" t="s">
        <v>5</v>
      </c>
      <c r="C201" s="3" t="s">
        <v>491</v>
      </c>
      <c r="D201" s="3"/>
      <c r="E201" s="3">
        <v>39.299999999999997</v>
      </c>
      <c r="F201" s="3">
        <v>0.37</v>
      </c>
      <c r="G201" s="3">
        <v>0.78</v>
      </c>
      <c r="H201" s="3">
        <v>7.0000000000000007E-2</v>
      </c>
      <c r="I201" s="3">
        <v>6.89</v>
      </c>
      <c r="J201" s="3">
        <v>0.1</v>
      </c>
      <c r="K201" s="3">
        <v>0.21</v>
      </c>
      <c r="L201" s="3">
        <v>0.03</v>
      </c>
      <c r="M201" s="3">
        <v>16.2</v>
      </c>
      <c r="N201" s="3">
        <v>0.11</v>
      </c>
      <c r="O201" s="3">
        <v>0.3</v>
      </c>
      <c r="P201" s="3">
        <v>0.01</v>
      </c>
      <c r="Q201" s="3">
        <v>7.14</v>
      </c>
      <c r="R201" s="3">
        <v>0.1</v>
      </c>
      <c r="S201" s="3">
        <v>5.72</v>
      </c>
      <c r="T201" s="3">
        <v>0.05</v>
      </c>
      <c r="U201" s="3">
        <v>1.86</v>
      </c>
      <c r="V201" s="3">
        <v>0.2</v>
      </c>
      <c r="W201" s="3">
        <v>0.54</v>
      </c>
      <c r="X201" s="3">
        <v>0.06</v>
      </c>
      <c r="Y201" s="3">
        <v>1.04</v>
      </c>
      <c r="Z201" s="3">
        <v>0.08</v>
      </c>
      <c r="AA201" s="3">
        <v>19.11</v>
      </c>
      <c r="AB201" s="3">
        <v>0.19</v>
      </c>
      <c r="AC201" s="3">
        <v>0.82</v>
      </c>
      <c r="AD201" s="3">
        <v>0.02</v>
      </c>
      <c r="AE201" s="3">
        <v>570</v>
      </c>
      <c r="AF201" s="3">
        <v>48</v>
      </c>
      <c r="AG201" s="3">
        <v>464</v>
      </c>
      <c r="AH201" s="3">
        <v>18</v>
      </c>
      <c r="AI201" s="3">
        <v>176</v>
      </c>
      <c r="AJ201" s="3">
        <v>18</v>
      </c>
    </row>
    <row r="202" spans="1:36" x14ac:dyDescent="0.25">
      <c r="A202" s="7">
        <v>2515</v>
      </c>
      <c r="B202" s="3" t="s">
        <v>6</v>
      </c>
      <c r="C202" s="3" t="s">
        <v>492</v>
      </c>
      <c r="D202" s="3"/>
      <c r="E202" s="3">
        <v>36.1</v>
      </c>
      <c r="F202" s="3">
        <v>0.3</v>
      </c>
      <c r="G202" s="3">
        <v>0.82</v>
      </c>
      <c r="H202" s="3">
        <v>7.0000000000000007E-2</v>
      </c>
      <c r="I202" s="3">
        <v>5.81</v>
      </c>
      <c r="J202" s="3">
        <v>0.08</v>
      </c>
      <c r="K202" s="3">
        <v>0.2</v>
      </c>
      <c r="L202" s="3">
        <v>0.03</v>
      </c>
      <c r="M202" s="3">
        <v>16.399999999999999</v>
      </c>
      <c r="N202" s="3">
        <v>0.09</v>
      </c>
      <c r="O202" s="3">
        <v>0.32</v>
      </c>
      <c r="P202" s="3">
        <v>0.01</v>
      </c>
      <c r="Q202" s="3">
        <v>7.89</v>
      </c>
      <c r="R202" s="3">
        <v>0.1</v>
      </c>
      <c r="S202" s="3">
        <v>4.63</v>
      </c>
      <c r="T202" s="3">
        <v>0.04</v>
      </c>
      <c r="U202" s="3">
        <v>1.67</v>
      </c>
      <c r="V202" s="3">
        <v>0.17</v>
      </c>
      <c r="W202" s="3">
        <v>0.59</v>
      </c>
      <c r="X202" s="3">
        <v>0.06</v>
      </c>
      <c r="Y202" s="3">
        <v>1.06</v>
      </c>
      <c r="Z202" s="3">
        <v>0.08</v>
      </c>
      <c r="AA202" s="3">
        <v>23.79</v>
      </c>
      <c r="AB202" s="3">
        <v>0.2</v>
      </c>
      <c r="AC202" s="3">
        <v>0.54</v>
      </c>
      <c r="AD202" s="3">
        <v>0.01</v>
      </c>
      <c r="AE202" s="3">
        <v>644</v>
      </c>
      <c r="AF202" s="3">
        <v>51</v>
      </c>
      <c r="AG202" s="3">
        <v>480</v>
      </c>
      <c r="AH202" s="3">
        <v>19</v>
      </c>
      <c r="AI202" s="3">
        <v>232</v>
      </c>
      <c r="AJ202" s="3">
        <v>18</v>
      </c>
    </row>
    <row r="203" spans="1:36" x14ac:dyDescent="0.25">
      <c r="A203" s="7">
        <v>2528</v>
      </c>
      <c r="B203" s="3" t="s">
        <v>4</v>
      </c>
      <c r="C203" s="3" t="s">
        <v>493</v>
      </c>
      <c r="D203" s="3"/>
      <c r="E203" s="3">
        <v>38.6</v>
      </c>
      <c r="F203" s="3">
        <v>0.37</v>
      </c>
      <c r="G203" s="3">
        <v>0.81</v>
      </c>
      <c r="H203" s="3">
        <v>7.0000000000000007E-2</v>
      </c>
      <c r="I203" s="3">
        <v>6.6</v>
      </c>
      <c r="J203" s="3">
        <v>0.1</v>
      </c>
      <c r="K203" s="3">
        <v>0.17</v>
      </c>
      <c r="L203" s="3">
        <v>0.03</v>
      </c>
      <c r="M203" s="3">
        <v>16</v>
      </c>
      <c r="N203" s="3">
        <v>0.12</v>
      </c>
      <c r="O203" s="3">
        <v>0.28999999999999998</v>
      </c>
      <c r="P203" s="3">
        <v>0.01</v>
      </c>
      <c r="Q203" s="3">
        <v>7.18</v>
      </c>
      <c r="R203" s="3">
        <v>0.1</v>
      </c>
      <c r="S203" s="3">
        <v>5.0199999999999996</v>
      </c>
      <c r="T203" s="3">
        <v>0.05</v>
      </c>
      <c r="U203" s="3">
        <v>1.83</v>
      </c>
      <c r="V203" s="3">
        <v>0.2</v>
      </c>
      <c r="W203" s="3">
        <v>0.61</v>
      </c>
      <c r="X203" s="3">
        <v>0.06</v>
      </c>
      <c r="Y203" s="3">
        <v>1.03</v>
      </c>
      <c r="Z203" s="3">
        <v>0.08</v>
      </c>
      <c r="AA203" s="3">
        <v>20.36</v>
      </c>
      <c r="AB203" s="3">
        <v>0.2</v>
      </c>
      <c r="AC203" s="3">
        <v>1.27</v>
      </c>
      <c r="AD203" s="3">
        <v>0.02</v>
      </c>
      <c r="AE203" s="3">
        <v>509</v>
      </c>
      <c r="AF203" s="3">
        <v>50</v>
      </c>
      <c r="AG203" s="3">
        <v>440</v>
      </c>
      <c r="AH203" s="3">
        <v>18</v>
      </c>
      <c r="AI203" s="3">
        <v>432</v>
      </c>
      <c r="AJ203" s="3">
        <v>22</v>
      </c>
    </row>
    <row r="204" spans="1:36" x14ac:dyDescent="0.25">
      <c r="A204" s="7">
        <v>2611</v>
      </c>
      <c r="B204" s="3" t="s">
        <v>4</v>
      </c>
      <c r="C204" s="3" t="s">
        <v>494</v>
      </c>
      <c r="D204" s="3"/>
      <c r="E204" s="3">
        <v>40.200000000000003</v>
      </c>
      <c r="F204" s="3">
        <v>0.48</v>
      </c>
      <c r="G204" s="3">
        <v>0.76</v>
      </c>
      <c r="H204" s="3">
        <v>0.09</v>
      </c>
      <c r="I204" s="3">
        <v>7.31</v>
      </c>
      <c r="J204" s="3">
        <v>0.14000000000000001</v>
      </c>
      <c r="K204" s="3">
        <v>0.2</v>
      </c>
      <c r="L204" s="3">
        <v>0.04</v>
      </c>
      <c r="M204" s="3">
        <v>16.7</v>
      </c>
      <c r="N204" s="3">
        <v>0.16</v>
      </c>
      <c r="O204" s="3">
        <v>0.28000000000000003</v>
      </c>
      <c r="P204" s="3">
        <v>0.02</v>
      </c>
      <c r="Q204" s="3">
        <v>7.56</v>
      </c>
      <c r="R204" s="3">
        <v>0.14000000000000001</v>
      </c>
      <c r="S204" s="3">
        <v>5.22</v>
      </c>
      <c r="T204" s="3">
        <v>7.0000000000000007E-2</v>
      </c>
      <c r="U204" s="3">
        <v>2.04</v>
      </c>
      <c r="V204" s="3">
        <v>0.25</v>
      </c>
      <c r="W204" s="3">
        <v>0.56000000000000005</v>
      </c>
      <c r="X204" s="3">
        <v>7.0000000000000007E-2</v>
      </c>
      <c r="Y204" s="3">
        <v>1.03</v>
      </c>
      <c r="Z204" s="3">
        <v>0.1</v>
      </c>
      <c r="AA204" s="3">
        <v>16.920000000000002</v>
      </c>
      <c r="AB204" s="3">
        <v>0.24</v>
      </c>
      <c r="AC204" s="3">
        <v>1.0900000000000001</v>
      </c>
      <c r="AD204" s="3">
        <v>0.03</v>
      </c>
      <c r="AE204" s="3">
        <v>512</v>
      </c>
      <c r="AF204" s="3">
        <v>68</v>
      </c>
      <c r="AG204" s="3">
        <v>359</v>
      </c>
      <c r="AH204" s="3">
        <v>28</v>
      </c>
      <c r="AI204" s="3">
        <v>331</v>
      </c>
      <c r="AJ204" s="3">
        <v>26</v>
      </c>
    </row>
    <row r="205" spans="1:36" x14ac:dyDescent="0.25">
      <c r="A205" s="7">
        <v>2669</v>
      </c>
      <c r="B205" s="3" t="s">
        <v>4</v>
      </c>
      <c r="C205" s="3" t="s">
        <v>495</v>
      </c>
      <c r="D205" s="3"/>
      <c r="E205" s="3">
        <v>41.8</v>
      </c>
      <c r="F205" s="3">
        <v>0.4</v>
      </c>
      <c r="G205" s="3">
        <v>0.84</v>
      </c>
      <c r="H205" s="3">
        <v>0.08</v>
      </c>
      <c r="I205" s="3">
        <v>7.77</v>
      </c>
      <c r="J205" s="3">
        <v>0.12</v>
      </c>
      <c r="K205" s="3">
        <v>0.22</v>
      </c>
      <c r="L205" s="3">
        <v>0.04</v>
      </c>
      <c r="M205" s="3">
        <v>16.899999999999999</v>
      </c>
      <c r="N205" s="3">
        <v>0.11</v>
      </c>
      <c r="O205" s="3">
        <v>0.3</v>
      </c>
      <c r="P205" s="3">
        <v>0.02</v>
      </c>
      <c r="Q205" s="3">
        <v>7.41</v>
      </c>
      <c r="R205" s="3">
        <v>0.12</v>
      </c>
      <c r="S205" s="3">
        <v>6.19</v>
      </c>
      <c r="T205" s="3">
        <v>7.0000000000000007E-2</v>
      </c>
      <c r="U205" s="3">
        <v>2.13</v>
      </c>
      <c r="V205" s="3">
        <v>0.25</v>
      </c>
      <c r="W205" s="3">
        <v>0.56999999999999995</v>
      </c>
      <c r="X205" s="3">
        <v>7.0000000000000007E-2</v>
      </c>
      <c r="Y205" s="3">
        <v>1.03</v>
      </c>
      <c r="Z205" s="3">
        <v>0.09</v>
      </c>
      <c r="AA205" s="3">
        <v>13.7</v>
      </c>
      <c r="AB205" s="3">
        <v>0.19</v>
      </c>
      <c r="AC205" s="3">
        <v>1.01</v>
      </c>
      <c r="AD205" s="3">
        <v>0.03</v>
      </c>
      <c r="AE205" s="3">
        <v>426</v>
      </c>
      <c r="AF205" s="3">
        <v>70</v>
      </c>
      <c r="AG205" s="3">
        <v>414</v>
      </c>
      <c r="AH205" s="3">
        <v>31</v>
      </c>
      <c r="AI205" s="3">
        <v>498</v>
      </c>
      <c r="AJ205" s="3">
        <v>29</v>
      </c>
    </row>
    <row r="206" spans="1:36" x14ac:dyDescent="0.25">
      <c r="A206" s="7">
        <v>2694</v>
      </c>
      <c r="B206" s="3" t="s">
        <v>4</v>
      </c>
      <c r="C206" s="3" t="s">
        <v>496</v>
      </c>
      <c r="D206" s="3"/>
      <c r="E206" s="3">
        <v>42.6</v>
      </c>
      <c r="F206" s="3">
        <v>0.49</v>
      </c>
      <c r="G206" s="3">
        <v>0.99</v>
      </c>
      <c r="H206" s="3">
        <v>0.08</v>
      </c>
      <c r="I206" s="3">
        <v>8.86</v>
      </c>
      <c r="J206" s="3">
        <v>0.15</v>
      </c>
      <c r="K206" s="3">
        <v>0.16</v>
      </c>
      <c r="L206" s="3">
        <v>0.04</v>
      </c>
      <c r="M206" s="3">
        <v>17.62</v>
      </c>
      <c r="N206" s="3">
        <v>0.16</v>
      </c>
      <c r="O206" s="3">
        <v>0.38</v>
      </c>
      <c r="P206" s="3">
        <v>0.02</v>
      </c>
      <c r="Q206" s="3">
        <v>6.2</v>
      </c>
      <c r="R206" s="3">
        <v>0.14000000000000001</v>
      </c>
      <c r="S206" s="3">
        <v>7.13</v>
      </c>
      <c r="T206" s="3">
        <v>0.08</v>
      </c>
      <c r="U206" s="3">
        <v>1.84</v>
      </c>
      <c r="V206" s="3">
        <v>0.28000000000000003</v>
      </c>
      <c r="W206" s="3">
        <v>0.43</v>
      </c>
      <c r="X206" s="3">
        <v>7.0000000000000007E-2</v>
      </c>
      <c r="Y206" s="3">
        <v>3.14</v>
      </c>
      <c r="Z206" s="3">
        <v>0.13</v>
      </c>
      <c r="AA206" s="3">
        <v>8.57</v>
      </c>
      <c r="AB206" s="3">
        <v>0.16</v>
      </c>
      <c r="AC206" s="3">
        <v>1.23</v>
      </c>
      <c r="AD206" s="3">
        <v>0.03</v>
      </c>
      <c r="AE206" s="3">
        <v>950</v>
      </c>
      <c r="AF206" s="3">
        <v>84</v>
      </c>
      <c r="AG206" s="3">
        <v>6267</v>
      </c>
      <c r="AH206" s="3">
        <v>108</v>
      </c>
      <c r="AI206" s="3">
        <v>779</v>
      </c>
      <c r="AJ206" s="3">
        <v>35</v>
      </c>
    </row>
    <row r="207" spans="1:36" x14ac:dyDescent="0.25">
      <c r="A207" s="7">
        <v>2695</v>
      </c>
      <c r="B207" s="3" t="s">
        <v>4</v>
      </c>
      <c r="C207" s="3" t="s">
        <v>497</v>
      </c>
      <c r="D207" s="3"/>
      <c r="E207" s="3">
        <v>46.2</v>
      </c>
      <c r="F207" s="3">
        <v>0.54</v>
      </c>
      <c r="G207" s="3">
        <v>1.05</v>
      </c>
      <c r="H207" s="3">
        <v>0.1</v>
      </c>
      <c r="I207" s="3">
        <v>9.9700000000000006</v>
      </c>
      <c r="J207" s="3">
        <v>0.18</v>
      </c>
      <c r="K207" s="3">
        <v>0.27</v>
      </c>
      <c r="L207" s="3">
        <v>0.04</v>
      </c>
      <c r="M207" s="3">
        <v>18.03</v>
      </c>
      <c r="N207" s="3">
        <v>0.17</v>
      </c>
      <c r="O207" s="3">
        <v>0.38</v>
      </c>
      <c r="P207" s="3">
        <v>0.02</v>
      </c>
      <c r="Q207" s="3">
        <v>6.04</v>
      </c>
      <c r="R207" s="3">
        <v>0.14000000000000001</v>
      </c>
      <c r="S207" s="3">
        <v>6.78</v>
      </c>
      <c r="T207" s="3">
        <v>0.08</v>
      </c>
      <c r="U207" s="3">
        <v>2.16</v>
      </c>
      <c r="V207" s="3">
        <v>0.28000000000000003</v>
      </c>
      <c r="W207" s="3">
        <v>0.5</v>
      </c>
      <c r="X207" s="3">
        <v>7.0000000000000007E-2</v>
      </c>
      <c r="Y207" s="3">
        <v>1.22</v>
      </c>
      <c r="Z207" s="3">
        <v>0.1</v>
      </c>
      <c r="AA207" s="3">
        <v>6.01</v>
      </c>
      <c r="AB207" s="3">
        <v>0.13</v>
      </c>
      <c r="AC207" s="3">
        <v>0.93</v>
      </c>
      <c r="AD207" s="3">
        <v>0.03</v>
      </c>
      <c r="AE207" s="3">
        <v>1405</v>
      </c>
      <c r="AF207" s="3">
        <v>95</v>
      </c>
      <c r="AG207" s="3">
        <v>1798</v>
      </c>
      <c r="AH207" s="3">
        <v>58</v>
      </c>
      <c r="AI207" s="3">
        <v>722</v>
      </c>
      <c r="AJ207" s="3">
        <v>34</v>
      </c>
    </row>
    <row r="208" spans="1:36" x14ac:dyDescent="0.25">
      <c r="A208" s="7">
        <v>2696</v>
      </c>
      <c r="B208" s="3" t="s">
        <v>4</v>
      </c>
      <c r="C208" s="3" t="s">
        <v>498</v>
      </c>
      <c r="D208" s="3"/>
      <c r="E208" s="3">
        <v>45.4</v>
      </c>
      <c r="F208" s="3">
        <v>0.54</v>
      </c>
      <c r="G208" s="3">
        <v>1.05</v>
      </c>
      <c r="H208" s="3">
        <v>0.09</v>
      </c>
      <c r="I208" s="3">
        <v>10.1</v>
      </c>
      <c r="J208" s="3">
        <v>0.19</v>
      </c>
      <c r="K208" s="3">
        <v>0.23</v>
      </c>
      <c r="L208" s="3">
        <v>0.04</v>
      </c>
      <c r="M208" s="3">
        <v>18.78</v>
      </c>
      <c r="N208" s="3">
        <v>0.18</v>
      </c>
      <c r="O208" s="3">
        <v>0.23</v>
      </c>
      <c r="P208" s="3">
        <v>0.02</v>
      </c>
      <c r="Q208" s="3">
        <v>6.19</v>
      </c>
      <c r="R208" s="3">
        <v>0.21</v>
      </c>
      <c r="S208" s="3">
        <v>5.88</v>
      </c>
      <c r="T208" s="3">
        <v>0.08</v>
      </c>
      <c r="U208" s="3">
        <v>2.54</v>
      </c>
      <c r="V208" s="3">
        <v>0.41</v>
      </c>
      <c r="W208" s="3">
        <v>0.53</v>
      </c>
      <c r="X208" s="3">
        <v>7.0000000000000007E-2</v>
      </c>
      <c r="Y208" s="3">
        <v>1.2</v>
      </c>
      <c r="Z208" s="3">
        <v>0.1</v>
      </c>
      <c r="AA208" s="3">
        <v>6.5</v>
      </c>
      <c r="AB208" s="3">
        <v>0.14000000000000001</v>
      </c>
      <c r="AC208" s="3">
        <v>1</v>
      </c>
      <c r="AD208" s="3">
        <v>0.03</v>
      </c>
      <c r="AE208" s="3">
        <v>2030</v>
      </c>
      <c r="AF208" s="3">
        <v>108</v>
      </c>
      <c r="AG208" s="3">
        <v>710</v>
      </c>
      <c r="AH208" s="3">
        <v>42</v>
      </c>
      <c r="AI208" s="3">
        <v>377</v>
      </c>
      <c r="AJ208" s="3">
        <v>29</v>
      </c>
    </row>
    <row r="209" spans="1:36" x14ac:dyDescent="0.25">
      <c r="A209" s="7">
        <v>2699</v>
      </c>
      <c r="B209" s="3" t="s">
        <v>4</v>
      </c>
      <c r="C209" s="3" t="s">
        <v>499</v>
      </c>
      <c r="D209" s="3"/>
      <c r="E209" s="3">
        <v>42.82</v>
      </c>
      <c r="F209" s="3">
        <v>0.36</v>
      </c>
      <c r="G209" s="3">
        <v>1.08</v>
      </c>
      <c r="H209" s="3">
        <v>0.08</v>
      </c>
      <c r="I209" s="3">
        <v>8.56</v>
      </c>
      <c r="J209" s="3">
        <v>0.11</v>
      </c>
      <c r="K209" s="3">
        <v>0.21</v>
      </c>
      <c r="L209" s="3">
        <v>0.04</v>
      </c>
      <c r="M209" s="3">
        <v>21.29</v>
      </c>
      <c r="N209" s="3">
        <v>0.12</v>
      </c>
      <c r="O209" s="3">
        <v>0.54</v>
      </c>
      <c r="P209" s="3">
        <v>0.02</v>
      </c>
      <c r="Q209" s="3">
        <v>6.22</v>
      </c>
      <c r="R209" s="3">
        <v>0.1</v>
      </c>
      <c r="S209" s="3">
        <v>5.61</v>
      </c>
      <c r="T209" s="3">
        <v>0.06</v>
      </c>
      <c r="U209" s="3">
        <v>2.16</v>
      </c>
      <c r="V209" s="3">
        <v>0.21</v>
      </c>
      <c r="W209" s="3">
        <v>0.53</v>
      </c>
      <c r="X209" s="3">
        <v>0.06</v>
      </c>
      <c r="Y209" s="3">
        <v>2.27</v>
      </c>
      <c r="Z209" s="3">
        <v>0.1</v>
      </c>
      <c r="AA209" s="3">
        <v>6.81</v>
      </c>
      <c r="AB209" s="3">
        <v>0.11</v>
      </c>
      <c r="AC209" s="3">
        <v>1.52</v>
      </c>
      <c r="AD209" s="3">
        <v>0.03</v>
      </c>
      <c r="AE209" s="3">
        <v>852</v>
      </c>
      <c r="AF209" s="3">
        <v>72</v>
      </c>
      <c r="AG209" s="3">
        <v>1813</v>
      </c>
      <c r="AH209" s="3">
        <v>49</v>
      </c>
      <c r="AI209" s="3">
        <v>967</v>
      </c>
      <c r="AJ209" s="3">
        <v>33</v>
      </c>
    </row>
    <row r="210" spans="1:36" x14ac:dyDescent="0.25">
      <c r="A210" s="7">
        <v>2701</v>
      </c>
      <c r="B210" s="3" t="s">
        <v>4</v>
      </c>
      <c r="C210" s="3" t="s">
        <v>500</v>
      </c>
      <c r="D210" s="3"/>
      <c r="E210" s="3">
        <v>45.19</v>
      </c>
      <c r="F210" s="3">
        <v>0.48</v>
      </c>
      <c r="G210" s="3">
        <v>1.1000000000000001</v>
      </c>
      <c r="H210" s="3">
        <v>0.08</v>
      </c>
      <c r="I210" s="3">
        <v>8.61</v>
      </c>
      <c r="J210" s="3">
        <v>0.14000000000000001</v>
      </c>
      <c r="K210" s="3">
        <v>0.24</v>
      </c>
      <c r="L210" s="3">
        <v>0.04</v>
      </c>
      <c r="M210" s="3">
        <v>20.71</v>
      </c>
      <c r="N210" s="3">
        <v>0.17</v>
      </c>
      <c r="O210" s="3">
        <v>0.51</v>
      </c>
      <c r="P210" s="3">
        <v>0.02</v>
      </c>
      <c r="Q210" s="3">
        <v>6.04</v>
      </c>
      <c r="R210" s="3">
        <v>0.12</v>
      </c>
      <c r="S210" s="3">
        <v>5.18</v>
      </c>
      <c r="T210" s="3">
        <v>0.06</v>
      </c>
      <c r="U210" s="3">
        <v>2.12</v>
      </c>
      <c r="V210" s="3">
        <v>0.23</v>
      </c>
      <c r="W210" s="3">
        <v>0.56000000000000005</v>
      </c>
      <c r="X210" s="3">
        <v>7.0000000000000007E-2</v>
      </c>
      <c r="Y210" s="3">
        <v>2.2400000000000002</v>
      </c>
      <c r="Z210" s="3">
        <v>0.11</v>
      </c>
      <c r="AA210" s="3">
        <v>5.87</v>
      </c>
      <c r="AB210" s="3">
        <v>0.11</v>
      </c>
      <c r="AC210" s="3">
        <v>1.21</v>
      </c>
      <c r="AD210" s="3">
        <v>0.03</v>
      </c>
      <c r="AE210" s="3">
        <v>770</v>
      </c>
      <c r="AF210" s="3">
        <v>71</v>
      </c>
      <c r="AG210" s="3">
        <v>1853</v>
      </c>
      <c r="AH210" s="3">
        <v>50</v>
      </c>
      <c r="AI210" s="3">
        <v>1324</v>
      </c>
      <c r="AJ210" s="3">
        <v>40</v>
      </c>
    </row>
    <row r="211" spans="1:36" x14ac:dyDescent="0.25">
      <c r="A211" s="7">
        <v>2702</v>
      </c>
      <c r="B211" s="3" t="s">
        <v>4</v>
      </c>
      <c r="C211" s="3" t="s">
        <v>501</v>
      </c>
      <c r="D211" s="3"/>
      <c r="E211" s="3">
        <v>45.56</v>
      </c>
      <c r="F211" s="3">
        <v>0.48</v>
      </c>
      <c r="G211" s="3">
        <v>1.01</v>
      </c>
      <c r="H211" s="3">
        <v>0.08</v>
      </c>
      <c r="I211" s="3">
        <v>8.16</v>
      </c>
      <c r="J211" s="3">
        <v>0.13</v>
      </c>
      <c r="K211" s="3">
        <v>0.27</v>
      </c>
      <c r="L211" s="3">
        <v>0.04</v>
      </c>
      <c r="M211" s="3">
        <v>21.44</v>
      </c>
      <c r="N211" s="3">
        <v>0.17</v>
      </c>
      <c r="O211" s="3">
        <v>0.46</v>
      </c>
      <c r="P211" s="3">
        <v>0.02</v>
      </c>
      <c r="Q211" s="3">
        <v>5.9</v>
      </c>
      <c r="R211" s="3">
        <v>0.11</v>
      </c>
      <c r="S211" s="3">
        <v>4.83</v>
      </c>
      <c r="T211" s="3">
        <v>0.06</v>
      </c>
      <c r="U211" s="3">
        <v>2.09</v>
      </c>
      <c r="V211" s="3">
        <v>0.23</v>
      </c>
      <c r="W211" s="3">
        <v>0.62</v>
      </c>
      <c r="X211" s="3">
        <v>7.0000000000000007E-2</v>
      </c>
      <c r="Y211" s="3">
        <v>2.0099999999999998</v>
      </c>
      <c r="Z211" s="3">
        <v>0.1</v>
      </c>
      <c r="AA211" s="3">
        <v>5.89</v>
      </c>
      <c r="AB211" s="3">
        <v>0.11</v>
      </c>
      <c r="AC211" s="3">
        <v>1.27</v>
      </c>
      <c r="AD211" s="3">
        <v>0.03</v>
      </c>
      <c r="AE211" s="3">
        <v>1005</v>
      </c>
      <c r="AF211" s="3">
        <v>74</v>
      </c>
      <c r="AG211" s="3">
        <v>2314</v>
      </c>
      <c r="AH211" s="3">
        <v>55</v>
      </c>
      <c r="AI211" s="3">
        <v>1470</v>
      </c>
      <c r="AJ211" s="3">
        <v>40</v>
      </c>
    </row>
    <row r="212" spans="1:36" x14ac:dyDescent="0.25">
      <c r="A212" s="7">
        <v>2713</v>
      </c>
      <c r="B212" s="3" t="s">
        <v>4</v>
      </c>
      <c r="C212" s="3" t="s">
        <v>502</v>
      </c>
      <c r="D212" s="3"/>
      <c r="E212" s="3">
        <v>44.49</v>
      </c>
      <c r="F212" s="3">
        <v>0.38</v>
      </c>
      <c r="G212" s="3">
        <v>1</v>
      </c>
      <c r="H212" s="3">
        <v>7.0000000000000007E-2</v>
      </c>
      <c r="I212" s="3">
        <v>9</v>
      </c>
      <c r="J212" s="3">
        <v>0.1</v>
      </c>
      <c r="K212" s="3">
        <v>0.24</v>
      </c>
      <c r="L212" s="3">
        <v>0.03</v>
      </c>
      <c r="M212" s="3">
        <v>19.18</v>
      </c>
      <c r="N212" s="3">
        <v>0.12</v>
      </c>
      <c r="O212" s="3">
        <v>0.45</v>
      </c>
      <c r="P212" s="3">
        <v>0.01</v>
      </c>
      <c r="Q212" s="3">
        <v>7.37</v>
      </c>
      <c r="R212" s="3">
        <v>0.09</v>
      </c>
      <c r="S212" s="3">
        <v>6.76</v>
      </c>
      <c r="T212" s="3">
        <v>0.05</v>
      </c>
      <c r="U212" s="3">
        <v>2.4300000000000002</v>
      </c>
      <c r="V212" s="3">
        <v>0.18</v>
      </c>
      <c r="W212" s="3">
        <v>0.49</v>
      </c>
      <c r="X212" s="3">
        <v>0.06</v>
      </c>
      <c r="Y212" s="3">
        <v>1.02</v>
      </c>
      <c r="Z212" s="3">
        <v>7.0000000000000007E-2</v>
      </c>
      <c r="AA212" s="3">
        <v>6.16</v>
      </c>
      <c r="AB212" s="3">
        <v>7.0000000000000007E-2</v>
      </c>
      <c r="AC212" s="3">
        <v>1.31</v>
      </c>
      <c r="AD212" s="3">
        <v>0.02</v>
      </c>
      <c r="AE212" s="3">
        <v>474</v>
      </c>
      <c r="AF212" s="3">
        <v>42</v>
      </c>
      <c r="AG212" s="3">
        <v>283</v>
      </c>
      <c r="AH212" s="3">
        <v>12</v>
      </c>
      <c r="AI212" s="3">
        <v>78</v>
      </c>
      <c r="AJ212" s="3">
        <v>15</v>
      </c>
    </row>
    <row r="213" spans="1:36" x14ac:dyDescent="0.25">
      <c r="A213" s="7">
        <v>2717</v>
      </c>
      <c r="B213" s="3" t="s">
        <v>5</v>
      </c>
      <c r="C213" s="3" t="s">
        <v>503</v>
      </c>
      <c r="D213" s="3"/>
      <c r="E213" s="3">
        <v>43.94</v>
      </c>
      <c r="F213" s="3">
        <v>0.39</v>
      </c>
      <c r="G213" s="3">
        <v>0.97</v>
      </c>
      <c r="H213" s="3">
        <v>0.08</v>
      </c>
      <c r="I213" s="3">
        <v>8.92</v>
      </c>
      <c r="J213" s="3">
        <v>0.12</v>
      </c>
      <c r="K213" s="3">
        <v>0.25</v>
      </c>
      <c r="L213" s="3">
        <v>0.04</v>
      </c>
      <c r="M213" s="3">
        <v>19.37</v>
      </c>
      <c r="N213" s="3">
        <v>0.13</v>
      </c>
      <c r="O213" s="3">
        <v>0.45</v>
      </c>
      <c r="P213" s="3">
        <v>0.02</v>
      </c>
      <c r="Q213" s="3">
        <v>7.52</v>
      </c>
      <c r="R213" s="3">
        <v>0.12</v>
      </c>
      <c r="S213" s="3">
        <v>6.67</v>
      </c>
      <c r="T213" s="3">
        <v>7.0000000000000007E-2</v>
      </c>
      <c r="U213" s="3">
        <v>2.54</v>
      </c>
      <c r="V213" s="3">
        <v>0.22</v>
      </c>
      <c r="W213" s="3">
        <v>0.48</v>
      </c>
      <c r="X213" s="3">
        <v>0.06</v>
      </c>
      <c r="Y213" s="3">
        <v>1.04</v>
      </c>
      <c r="Z213" s="3">
        <v>0.09</v>
      </c>
      <c r="AA213" s="3">
        <v>6.42</v>
      </c>
      <c r="AB213" s="3">
        <v>0.11</v>
      </c>
      <c r="AC213" s="3">
        <v>1.34</v>
      </c>
      <c r="AD213" s="3">
        <v>0.03</v>
      </c>
      <c r="AE213" s="3">
        <v>453</v>
      </c>
      <c r="AF213" s="3">
        <v>63</v>
      </c>
      <c r="AG213" s="3">
        <v>313</v>
      </c>
      <c r="AH213" s="3">
        <v>25</v>
      </c>
      <c r="AI213" s="3">
        <v>76</v>
      </c>
      <c r="AJ213" s="3">
        <v>20</v>
      </c>
    </row>
    <row r="214" spans="1:36" x14ac:dyDescent="0.25">
      <c r="A214" s="7">
        <v>2722</v>
      </c>
      <c r="B214" s="3" t="s">
        <v>6</v>
      </c>
      <c r="C214" s="3" t="s">
        <v>504</v>
      </c>
      <c r="D214" s="3"/>
      <c r="E214" s="3">
        <v>45.52</v>
      </c>
      <c r="F214" s="3">
        <v>0.43</v>
      </c>
      <c r="G214" s="3">
        <v>1.0900000000000001</v>
      </c>
      <c r="H214" s="3">
        <v>0.08</v>
      </c>
      <c r="I214" s="3">
        <v>8.82</v>
      </c>
      <c r="J214" s="3">
        <v>0.12</v>
      </c>
      <c r="K214" s="3">
        <v>0.25</v>
      </c>
      <c r="L214" s="3">
        <v>0.03</v>
      </c>
      <c r="M214" s="3">
        <v>20.05</v>
      </c>
      <c r="N214" s="3">
        <v>0.14000000000000001</v>
      </c>
      <c r="O214" s="3">
        <v>0.48</v>
      </c>
      <c r="P214" s="3">
        <v>0.02</v>
      </c>
      <c r="Q214" s="3">
        <v>8.81</v>
      </c>
      <c r="R214" s="3">
        <v>0.12</v>
      </c>
      <c r="S214" s="3">
        <v>6.77</v>
      </c>
      <c r="T214" s="3">
        <v>0.06</v>
      </c>
      <c r="U214" s="3">
        <v>2.74</v>
      </c>
      <c r="V214" s="3">
        <v>0.22</v>
      </c>
      <c r="W214" s="3">
        <v>0.41</v>
      </c>
      <c r="X214" s="3">
        <v>0.06</v>
      </c>
      <c r="Y214" s="3">
        <v>1</v>
      </c>
      <c r="Z214" s="3">
        <v>0.08</v>
      </c>
      <c r="AA214" s="3">
        <v>3.09</v>
      </c>
      <c r="AB214" s="3">
        <v>0.06</v>
      </c>
      <c r="AC214" s="3">
        <v>0.87</v>
      </c>
      <c r="AD214" s="3">
        <v>0.02</v>
      </c>
      <c r="AE214" s="3">
        <v>482</v>
      </c>
      <c r="AF214" s="3">
        <v>54</v>
      </c>
      <c r="AG214" s="3">
        <v>246</v>
      </c>
      <c r="AH214" s="3">
        <v>18</v>
      </c>
      <c r="AI214" s="3">
        <v>124</v>
      </c>
      <c r="AJ214" s="3">
        <v>18</v>
      </c>
    </row>
    <row r="215" spans="1:36" x14ac:dyDescent="0.25">
      <c r="A215" s="7">
        <v>2726</v>
      </c>
      <c r="B215" s="3" t="s">
        <v>94</v>
      </c>
      <c r="C215" s="3" t="s">
        <v>505</v>
      </c>
      <c r="D215" s="3"/>
      <c r="E215" s="3">
        <v>45.41</v>
      </c>
      <c r="F215" s="3">
        <v>0.42</v>
      </c>
      <c r="G215" s="3">
        <v>1.04</v>
      </c>
      <c r="H215" s="3">
        <v>0.08</v>
      </c>
      <c r="I215" s="3">
        <v>8.51</v>
      </c>
      <c r="J215" s="3">
        <v>0.13</v>
      </c>
      <c r="K215" s="3">
        <v>0.25</v>
      </c>
      <c r="L215" s="3">
        <v>0.04</v>
      </c>
      <c r="M215" s="3">
        <v>20.18</v>
      </c>
      <c r="N215" s="3">
        <v>0.13</v>
      </c>
      <c r="O215" s="3">
        <v>0.49</v>
      </c>
      <c r="P215" s="3">
        <v>0.02</v>
      </c>
      <c r="Q215" s="3">
        <v>8.89</v>
      </c>
      <c r="R215" s="3">
        <v>0.17</v>
      </c>
      <c r="S215" s="3">
        <v>6.78</v>
      </c>
      <c r="T215" s="3">
        <v>7.0000000000000007E-2</v>
      </c>
      <c r="U215" s="3">
        <v>2.4700000000000002</v>
      </c>
      <c r="V215" s="3">
        <v>0.34</v>
      </c>
      <c r="W215" s="3">
        <v>0.38</v>
      </c>
      <c r="X215" s="3">
        <v>0.06</v>
      </c>
      <c r="Y215" s="3">
        <v>0.99</v>
      </c>
      <c r="Z215" s="3">
        <v>0.09</v>
      </c>
      <c r="AA215" s="3">
        <v>3.48</v>
      </c>
      <c r="AB215" s="3">
        <v>7.0000000000000007E-2</v>
      </c>
      <c r="AC215" s="3">
        <v>1.03</v>
      </c>
      <c r="AD215" s="3">
        <v>0.03</v>
      </c>
      <c r="AE215" s="3">
        <v>488</v>
      </c>
      <c r="AF215" s="3">
        <v>65</v>
      </c>
      <c r="AG215" s="3">
        <v>245</v>
      </c>
      <c r="AH215" s="3">
        <v>23</v>
      </c>
      <c r="AI215" s="3">
        <v>108</v>
      </c>
      <c r="AJ215" s="3">
        <v>20</v>
      </c>
    </row>
    <row r="216" spans="1:36" x14ac:dyDescent="0.25">
      <c r="A216" s="7">
        <v>2734</v>
      </c>
      <c r="B216" s="3" t="s">
        <v>4</v>
      </c>
      <c r="C216" s="3" t="s">
        <v>506</v>
      </c>
      <c r="D216" s="3"/>
      <c r="E216" s="3">
        <v>46.08</v>
      </c>
      <c r="F216" s="3">
        <v>0.51</v>
      </c>
      <c r="G216" s="3">
        <v>1.1499999999999999</v>
      </c>
      <c r="H216" s="3">
        <v>0.08</v>
      </c>
      <c r="I216" s="3">
        <v>10.1</v>
      </c>
      <c r="J216" s="3">
        <v>0.17</v>
      </c>
      <c r="K216" s="3">
        <v>0.27</v>
      </c>
      <c r="L216" s="3">
        <v>0.04</v>
      </c>
      <c r="M216" s="3">
        <v>16.96</v>
      </c>
      <c r="N216" s="3">
        <v>0.15</v>
      </c>
      <c r="O216" s="3">
        <v>0.63</v>
      </c>
      <c r="P216" s="3">
        <v>0.02</v>
      </c>
      <c r="Q216" s="3">
        <v>7.43</v>
      </c>
      <c r="R216" s="3">
        <v>0.14000000000000001</v>
      </c>
      <c r="S216" s="3">
        <v>7.12</v>
      </c>
      <c r="T216" s="3">
        <v>0.08</v>
      </c>
      <c r="U216" s="3">
        <v>2.69</v>
      </c>
      <c r="V216" s="3">
        <v>0.24</v>
      </c>
      <c r="W216" s="3">
        <v>0.46</v>
      </c>
      <c r="X216" s="3">
        <v>0.06</v>
      </c>
      <c r="Y216" s="3">
        <v>1.1299999999999999</v>
      </c>
      <c r="Z216" s="3">
        <v>0.09</v>
      </c>
      <c r="AA216" s="3">
        <v>4.84</v>
      </c>
      <c r="AB216" s="3">
        <v>0.1</v>
      </c>
      <c r="AC216" s="3">
        <v>1.04</v>
      </c>
      <c r="AD216" s="3">
        <v>0.03</v>
      </c>
      <c r="AE216" s="3">
        <v>461</v>
      </c>
      <c r="AF216" s="3">
        <v>65</v>
      </c>
      <c r="AG216" s="3">
        <v>244</v>
      </c>
      <c r="AH216" s="3">
        <v>23</v>
      </c>
      <c r="AI216" s="3">
        <v>68</v>
      </c>
      <c r="AJ216" s="3">
        <v>19</v>
      </c>
    </row>
    <row r="217" spans="1:36" x14ac:dyDescent="0.25">
      <c r="A217" s="7">
        <v>2764</v>
      </c>
      <c r="B217" s="3" t="s">
        <v>4</v>
      </c>
      <c r="C217" s="3" t="s">
        <v>507</v>
      </c>
      <c r="D217" s="3"/>
      <c r="E217" s="3">
        <v>25.42</v>
      </c>
      <c r="F217" s="3">
        <v>0.43</v>
      </c>
      <c r="G217" s="3">
        <v>0.28999999999999998</v>
      </c>
      <c r="H217" s="3">
        <v>7.0000000000000007E-2</v>
      </c>
      <c r="I217" s="3">
        <v>4.78</v>
      </c>
      <c r="J217" s="3">
        <v>0.2</v>
      </c>
      <c r="K217" s="3">
        <v>0.15</v>
      </c>
      <c r="L217" s="3">
        <v>0.05</v>
      </c>
      <c r="M217" s="3">
        <v>6.05</v>
      </c>
      <c r="N217" s="3">
        <v>0.09</v>
      </c>
      <c r="O217" s="3">
        <v>0.17</v>
      </c>
      <c r="P217" s="3">
        <v>0.02</v>
      </c>
      <c r="Q217" s="3">
        <v>4.7699999999999996</v>
      </c>
      <c r="R217" s="3">
        <v>0.16</v>
      </c>
      <c r="S217" s="3">
        <v>22.02</v>
      </c>
      <c r="T217" s="3">
        <v>0.23</v>
      </c>
      <c r="U217" s="3">
        <v>1.63</v>
      </c>
      <c r="V217" s="3">
        <v>0.31</v>
      </c>
      <c r="W217" s="3">
        <v>0.28000000000000003</v>
      </c>
      <c r="X217" s="3">
        <v>7.0000000000000007E-2</v>
      </c>
      <c r="Y217" s="3">
        <v>0.71</v>
      </c>
      <c r="Z217" s="3">
        <v>0.16</v>
      </c>
      <c r="AA217" s="3">
        <v>32.71</v>
      </c>
      <c r="AB217" s="3">
        <v>0.51</v>
      </c>
      <c r="AC217" s="3">
        <v>1.02</v>
      </c>
      <c r="AD217" s="3">
        <v>0.05</v>
      </c>
      <c r="AE217" s="3">
        <v>21</v>
      </c>
      <c r="AF217" s="3">
        <v>66</v>
      </c>
      <c r="AG217" s="3">
        <v>126</v>
      </c>
      <c r="AH217" s="3">
        <v>29</v>
      </c>
      <c r="AI217" s="3">
        <v>77</v>
      </c>
      <c r="AJ217" s="3">
        <v>22</v>
      </c>
    </row>
    <row r="218" spans="1:36" x14ac:dyDescent="0.25">
      <c r="A218" s="7">
        <v>2765</v>
      </c>
      <c r="B218" s="3" t="s">
        <v>4</v>
      </c>
      <c r="C218" s="3" t="s">
        <v>508</v>
      </c>
      <c r="D218" s="3"/>
      <c r="E218" s="3">
        <v>24.59</v>
      </c>
      <c r="F218" s="3">
        <v>0.19</v>
      </c>
      <c r="G218" s="3">
        <v>0.22</v>
      </c>
      <c r="H218" s="3">
        <v>0.06</v>
      </c>
      <c r="I218" s="3">
        <v>4.7</v>
      </c>
      <c r="J218" s="3">
        <v>0.06</v>
      </c>
      <c r="K218" s="3">
        <v>0.12</v>
      </c>
      <c r="L218" s="3">
        <v>0.03</v>
      </c>
      <c r="M218" s="3">
        <v>6.48</v>
      </c>
      <c r="N218" s="3">
        <v>0.05</v>
      </c>
      <c r="O218" s="3">
        <v>0.12</v>
      </c>
      <c r="P218" s="3">
        <v>0.01</v>
      </c>
      <c r="Q218" s="3">
        <v>4.5199999999999996</v>
      </c>
      <c r="R218" s="3">
        <v>0.06</v>
      </c>
      <c r="S218" s="3">
        <v>22.28</v>
      </c>
      <c r="T218" s="3">
        <v>0.12</v>
      </c>
      <c r="U218" s="3">
        <v>1.72</v>
      </c>
      <c r="V218" s="3">
        <v>0.17</v>
      </c>
      <c r="W218" s="3">
        <v>0.25</v>
      </c>
      <c r="X218" s="3">
        <v>0.06</v>
      </c>
      <c r="Y218" s="3">
        <v>0.77</v>
      </c>
      <c r="Z218" s="3">
        <v>0.08</v>
      </c>
      <c r="AA218" s="3">
        <v>33.25</v>
      </c>
      <c r="AB218" s="3">
        <v>0.24</v>
      </c>
      <c r="AC218" s="3">
        <v>0.99</v>
      </c>
      <c r="AD218" s="3">
        <v>0.02</v>
      </c>
      <c r="AE218" s="3">
        <v>0</v>
      </c>
      <c r="AF218" s="3">
        <v>20</v>
      </c>
      <c r="AG218" s="3">
        <v>94</v>
      </c>
      <c r="AH218" s="3">
        <v>12</v>
      </c>
      <c r="AI218" s="3">
        <v>71</v>
      </c>
      <c r="AJ218" s="3">
        <v>16</v>
      </c>
    </row>
    <row r="219" spans="1:36" x14ac:dyDescent="0.25">
      <c r="A219" s="7">
        <v>2767</v>
      </c>
      <c r="B219" s="3" t="s">
        <v>4</v>
      </c>
      <c r="C219" s="3" t="s">
        <v>509</v>
      </c>
      <c r="D219" s="3"/>
      <c r="E219" s="3">
        <v>25.78</v>
      </c>
      <c r="F219" s="3">
        <v>0.25</v>
      </c>
      <c r="G219" s="3">
        <v>0.28999999999999998</v>
      </c>
      <c r="H219" s="3">
        <v>0.06</v>
      </c>
      <c r="I219" s="3">
        <v>4.91</v>
      </c>
      <c r="J219" s="3">
        <v>0.08</v>
      </c>
      <c r="K219" s="3">
        <v>0.13</v>
      </c>
      <c r="L219" s="3">
        <v>0.04</v>
      </c>
      <c r="M219" s="3">
        <v>6.78</v>
      </c>
      <c r="N219" s="3">
        <v>0.06</v>
      </c>
      <c r="O219" s="3">
        <v>0.16</v>
      </c>
      <c r="P219" s="3">
        <v>0.01</v>
      </c>
      <c r="Q219" s="3">
        <v>4.67</v>
      </c>
      <c r="R219" s="3">
        <v>0.08</v>
      </c>
      <c r="S219" s="3">
        <v>21.78</v>
      </c>
      <c r="T219" s="3">
        <v>0.15</v>
      </c>
      <c r="U219" s="3">
        <v>1.5</v>
      </c>
      <c r="V219" s="3">
        <v>0.19</v>
      </c>
      <c r="W219" s="3">
        <v>0.28000000000000003</v>
      </c>
      <c r="X219" s="3">
        <v>0.06</v>
      </c>
      <c r="Y219" s="3">
        <v>0.85</v>
      </c>
      <c r="Z219" s="3">
        <v>0.09</v>
      </c>
      <c r="AA219" s="3">
        <v>32.03</v>
      </c>
      <c r="AB219" s="3">
        <v>0.3</v>
      </c>
      <c r="AC219" s="3">
        <v>0.85</v>
      </c>
      <c r="AD219" s="3">
        <v>0.03</v>
      </c>
      <c r="AE219" s="3">
        <v>86</v>
      </c>
      <c r="AF219" s="3">
        <v>51</v>
      </c>
      <c r="AG219" s="3">
        <v>143</v>
      </c>
      <c r="AH219" s="3">
        <v>18</v>
      </c>
      <c r="AI219" s="3">
        <v>55</v>
      </c>
      <c r="AJ219" s="3">
        <v>17</v>
      </c>
    </row>
    <row r="220" spans="1:36" x14ac:dyDescent="0.25">
      <c r="A220" s="7">
        <v>2771</v>
      </c>
      <c r="B220" s="3" t="s">
        <v>4</v>
      </c>
      <c r="C220" s="3" t="s">
        <v>510</v>
      </c>
      <c r="D220" s="3"/>
      <c r="E220" s="3">
        <v>44.04</v>
      </c>
      <c r="F220" s="3">
        <v>0.49</v>
      </c>
      <c r="G220" s="3">
        <v>0.98</v>
      </c>
      <c r="H220" s="3">
        <v>0.08</v>
      </c>
      <c r="I220" s="3">
        <v>8.32</v>
      </c>
      <c r="J220" s="3">
        <v>0.2</v>
      </c>
      <c r="K220" s="3">
        <v>0.3</v>
      </c>
      <c r="L220" s="3">
        <v>0.04</v>
      </c>
      <c r="M220" s="3">
        <v>19.399999999999999</v>
      </c>
      <c r="N220" s="3">
        <v>0.16</v>
      </c>
      <c r="O220" s="3">
        <v>0.22</v>
      </c>
      <c r="P220" s="3">
        <v>0.02</v>
      </c>
      <c r="Q220" s="3">
        <v>5.7</v>
      </c>
      <c r="R220" s="3">
        <v>0.14000000000000001</v>
      </c>
      <c r="S220" s="3">
        <v>6.68</v>
      </c>
      <c r="T220" s="3">
        <v>7.0000000000000007E-2</v>
      </c>
      <c r="U220" s="3">
        <v>2.17</v>
      </c>
      <c r="V220" s="3">
        <v>0.24</v>
      </c>
      <c r="W220" s="3">
        <v>0.62</v>
      </c>
      <c r="X220" s="3">
        <v>7.0000000000000007E-2</v>
      </c>
      <c r="Y220" s="3">
        <v>1.1299999999999999</v>
      </c>
      <c r="Z220" s="3">
        <v>0.1</v>
      </c>
      <c r="AA220" s="3">
        <v>9.19</v>
      </c>
      <c r="AB220" s="3">
        <v>0.14000000000000001</v>
      </c>
      <c r="AC220" s="3">
        <v>1.1200000000000001</v>
      </c>
      <c r="AD220" s="3">
        <v>0.03</v>
      </c>
      <c r="AE220" s="3">
        <v>410</v>
      </c>
      <c r="AF220" s="3">
        <v>62</v>
      </c>
      <c r="AG220" s="3">
        <v>521</v>
      </c>
      <c r="AH220" s="3">
        <v>29</v>
      </c>
      <c r="AI220" s="3">
        <v>301</v>
      </c>
      <c r="AJ220" s="3">
        <v>25</v>
      </c>
    </row>
    <row r="221" spans="1:36" x14ac:dyDescent="0.25">
      <c r="A221" s="7">
        <v>2787</v>
      </c>
      <c r="B221" s="3" t="s">
        <v>4</v>
      </c>
      <c r="C221" s="3" t="s">
        <v>511</v>
      </c>
      <c r="D221" s="3"/>
      <c r="E221" s="3">
        <v>45.85</v>
      </c>
      <c r="F221" s="3">
        <v>0.51</v>
      </c>
      <c r="G221" s="3">
        <v>1.1100000000000001</v>
      </c>
      <c r="H221" s="3">
        <v>0.08</v>
      </c>
      <c r="I221" s="3">
        <v>9.19</v>
      </c>
      <c r="J221" s="3">
        <v>0.24</v>
      </c>
      <c r="K221" s="3">
        <v>0.28000000000000003</v>
      </c>
      <c r="L221" s="3">
        <v>0.04</v>
      </c>
      <c r="M221" s="3">
        <v>17.82</v>
      </c>
      <c r="N221" s="3">
        <v>0.15</v>
      </c>
      <c r="O221" s="3">
        <v>0.41</v>
      </c>
      <c r="P221" s="3">
        <v>0.02</v>
      </c>
      <c r="Q221" s="3">
        <v>7.47</v>
      </c>
      <c r="R221" s="3">
        <v>0.16</v>
      </c>
      <c r="S221" s="3">
        <v>6.56</v>
      </c>
      <c r="T221" s="3">
        <v>7.0000000000000007E-2</v>
      </c>
      <c r="U221" s="3">
        <v>2.3199999999999998</v>
      </c>
      <c r="V221" s="3">
        <v>0.26</v>
      </c>
      <c r="W221" s="3">
        <v>0.49</v>
      </c>
      <c r="X221" s="3">
        <v>0.06</v>
      </c>
      <c r="Y221" s="3">
        <v>1.04</v>
      </c>
      <c r="Z221" s="3">
        <v>0.1</v>
      </c>
      <c r="AA221" s="3">
        <v>6.35</v>
      </c>
      <c r="AB221" s="3">
        <v>0.11</v>
      </c>
      <c r="AC221" s="3">
        <v>0.98</v>
      </c>
      <c r="AD221" s="3">
        <v>0.03</v>
      </c>
      <c r="AE221" s="3">
        <v>565</v>
      </c>
      <c r="AF221" s="3">
        <v>64</v>
      </c>
      <c r="AG221" s="3">
        <v>294</v>
      </c>
      <c r="AH221" s="3">
        <v>23</v>
      </c>
      <c r="AI221" s="3">
        <v>139</v>
      </c>
      <c r="AJ221" s="3">
        <v>21</v>
      </c>
    </row>
    <row r="222" spans="1:36" x14ac:dyDescent="0.25">
      <c r="A222" s="7">
        <v>2798</v>
      </c>
      <c r="B222" s="3" t="s">
        <v>4</v>
      </c>
      <c r="C222" s="3" t="s">
        <v>512</v>
      </c>
      <c r="D222" s="3"/>
      <c r="E222" s="3">
        <v>45.54</v>
      </c>
      <c r="F222" s="3">
        <v>0.45</v>
      </c>
      <c r="G222" s="3">
        <v>1.05</v>
      </c>
      <c r="H222" s="3">
        <v>7.0000000000000007E-2</v>
      </c>
      <c r="I222" s="3">
        <v>9.35</v>
      </c>
      <c r="J222" s="3">
        <v>0.19</v>
      </c>
      <c r="K222" s="3">
        <v>0.22</v>
      </c>
      <c r="L222" s="3">
        <v>0.03</v>
      </c>
      <c r="M222" s="3">
        <v>17.77</v>
      </c>
      <c r="N222" s="3">
        <v>0.13</v>
      </c>
      <c r="O222" s="3">
        <v>0.43</v>
      </c>
      <c r="P222" s="3">
        <v>0.01</v>
      </c>
      <c r="Q222" s="3">
        <v>8.86</v>
      </c>
      <c r="R222" s="3">
        <v>0.14000000000000001</v>
      </c>
      <c r="S222" s="3">
        <v>5.79</v>
      </c>
      <c r="T222" s="3">
        <v>0.05</v>
      </c>
      <c r="U222" s="3">
        <v>2.37</v>
      </c>
      <c r="V222" s="3">
        <v>0.23</v>
      </c>
      <c r="W222" s="3">
        <v>0.54</v>
      </c>
      <c r="X222" s="3">
        <v>0.06</v>
      </c>
      <c r="Y222" s="3">
        <v>1.22</v>
      </c>
      <c r="Z222" s="3">
        <v>0.09</v>
      </c>
      <c r="AA222" s="3">
        <v>5.74</v>
      </c>
      <c r="AB222" s="3">
        <v>0.09</v>
      </c>
      <c r="AC222" s="3">
        <v>0.99</v>
      </c>
      <c r="AD222" s="3">
        <v>0.02</v>
      </c>
      <c r="AE222" s="3">
        <v>515</v>
      </c>
      <c r="AF222" s="3">
        <v>53</v>
      </c>
      <c r="AG222" s="3">
        <v>348</v>
      </c>
      <c r="AH222" s="3">
        <v>19</v>
      </c>
      <c r="AI222" s="3">
        <v>150</v>
      </c>
      <c r="AJ222" s="3">
        <v>19</v>
      </c>
    </row>
    <row r="223" spans="1:36" x14ac:dyDescent="0.25">
      <c r="A223" s="7">
        <v>2801</v>
      </c>
      <c r="B223" s="3" t="s">
        <v>5</v>
      </c>
      <c r="C223" s="3" t="s">
        <v>513</v>
      </c>
      <c r="D223" s="3"/>
      <c r="E223" s="3">
        <v>45.64</v>
      </c>
      <c r="F223" s="3">
        <v>0.51</v>
      </c>
      <c r="G223" s="3">
        <v>1.03</v>
      </c>
      <c r="H223" s="3">
        <v>0.08</v>
      </c>
      <c r="I223" s="3">
        <v>9.52</v>
      </c>
      <c r="J223" s="3">
        <v>0.17</v>
      </c>
      <c r="K223" s="3">
        <v>0.25</v>
      </c>
      <c r="L223" s="3">
        <v>0.04</v>
      </c>
      <c r="M223" s="3">
        <v>17.63</v>
      </c>
      <c r="N223" s="3">
        <v>0.15</v>
      </c>
      <c r="O223" s="3">
        <v>0.41</v>
      </c>
      <c r="P223" s="3">
        <v>0.02</v>
      </c>
      <c r="Q223" s="3">
        <v>8.9499999999999993</v>
      </c>
      <c r="R223" s="3">
        <v>0.19</v>
      </c>
      <c r="S223" s="3">
        <v>5.75</v>
      </c>
      <c r="T223" s="3">
        <v>7.0000000000000007E-2</v>
      </c>
      <c r="U223" s="3">
        <v>2.39</v>
      </c>
      <c r="V223" s="3">
        <v>0.35</v>
      </c>
      <c r="W223" s="3">
        <v>0.51</v>
      </c>
      <c r="X223" s="3">
        <v>0.06</v>
      </c>
      <c r="Y223" s="3">
        <v>1.21</v>
      </c>
      <c r="Z223" s="3">
        <v>0.09</v>
      </c>
      <c r="AA223" s="3">
        <v>5.58</v>
      </c>
      <c r="AB223" s="3">
        <v>0.11</v>
      </c>
      <c r="AC223" s="3">
        <v>0.99</v>
      </c>
      <c r="AD223" s="3">
        <v>0.03</v>
      </c>
      <c r="AE223" s="3">
        <v>615</v>
      </c>
      <c r="AF223" s="3">
        <v>65</v>
      </c>
      <c r="AG223" s="3">
        <v>350</v>
      </c>
      <c r="AH223" s="3">
        <v>25</v>
      </c>
      <c r="AI223" s="3">
        <v>153</v>
      </c>
      <c r="AJ223" s="3">
        <v>22</v>
      </c>
    </row>
    <row r="224" spans="1:36" x14ac:dyDescent="0.25">
      <c r="A224" s="7">
        <v>2805</v>
      </c>
      <c r="B224" s="3" t="s">
        <v>4</v>
      </c>
      <c r="C224" s="3" t="s">
        <v>514</v>
      </c>
      <c r="D224" s="3"/>
      <c r="E224" s="3">
        <v>44.7</v>
      </c>
      <c r="F224" s="3">
        <v>0.43</v>
      </c>
      <c r="G224" s="3">
        <v>1.08</v>
      </c>
      <c r="H224" s="3">
        <v>7.0000000000000007E-2</v>
      </c>
      <c r="I224" s="3">
        <v>9.32</v>
      </c>
      <c r="J224" s="3">
        <v>0.23</v>
      </c>
      <c r="K224" s="3">
        <v>0.18</v>
      </c>
      <c r="L224" s="3">
        <v>0.03</v>
      </c>
      <c r="M224" s="3">
        <v>18.66</v>
      </c>
      <c r="N224" s="3">
        <v>0.13</v>
      </c>
      <c r="O224" s="3">
        <v>0.59</v>
      </c>
      <c r="P224" s="3">
        <v>0.01</v>
      </c>
      <c r="Q224" s="3">
        <v>8.42</v>
      </c>
      <c r="R224" s="3">
        <v>0.14000000000000001</v>
      </c>
      <c r="S224" s="3">
        <v>6.12</v>
      </c>
      <c r="T224" s="3">
        <v>0.05</v>
      </c>
      <c r="U224" s="3">
        <v>2.37</v>
      </c>
      <c r="V224" s="3">
        <v>0.23</v>
      </c>
      <c r="W224" s="3">
        <v>0.57999999999999996</v>
      </c>
      <c r="X224" s="3">
        <v>0.06</v>
      </c>
      <c r="Y224" s="3">
        <v>1.1599999999999999</v>
      </c>
      <c r="Z224" s="3">
        <v>0.09</v>
      </c>
      <c r="AA224" s="3">
        <v>5.81</v>
      </c>
      <c r="AB224" s="3">
        <v>0.08</v>
      </c>
      <c r="AC224" s="3">
        <v>0.92</v>
      </c>
      <c r="AD224" s="3">
        <v>0.02</v>
      </c>
      <c r="AE224" s="3">
        <v>461</v>
      </c>
      <c r="AF224" s="3">
        <v>48</v>
      </c>
      <c r="AG224" s="3">
        <v>266</v>
      </c>
      <c r="AH224" s="3">
        <v>15</v>
      </c>
      <c r="AI224" s="3">
        <v>229</v>
      </c>
      <c r="AJ224" s="3">
        <v>19</v>
      </c>
    </row>
    <row r="225" spans="1:36" x14ac:dyDescent="0.25">
      <c r="A225" s="7">
        <v>2819</v>
      </c>
      <c r="B225" s="3" t="s">
        <v>4</v>
      </c>
      <c r="C225" s="3" t="s">
        <v>515</v>
      </c>
      <c r="D225" s="3"/>
      <c r="E225" s="3">
        <v>45.65</v>
      </c>
      <c r="F225" s="3">
        <v>0.49</v>
      </c>
      <c r="G225" s="3">
        <v>1.05</v>
      </c>
      <c r="H225" s="3">
        <v>0.08</v>
      </c>
      <c r="I225" s="3">
        <v>9.18</v>
      </c>
      <c r="J225" s="3">
        <v>0.21</v>
      </c>
      <c r="K225" s="3">
        <v>0.17</v>
      </c>
      <c r="L225" s="3">
        <v>0.03</v>
      </c>
      <c r="M225" s="3">
        <v>17.760000000000002</v>
      </c>
      <c r="N225" s="3">
        <v>0.14000000000000001</v>
      </c>
      <c r="O225" s="3">
        <v>0.42</v>
      </c>
      <c r="P225" s="3">
        <v>0.02</v>
      </c>
      <c r="Q225" s="3">
        <v>9.11</v>
      </c>
      <c r="R225" s="3">
        <v>0.16</v>
      </c>
      <c r="S225" s="3">
        <v>6</v>
      </c>
      <c r="T225" s="3">
        <v>0.06</v>
      </c>
      <c r="U225" s="3">
        <v>2.13</v>
      </c>
      <c r="V225" s="3">
        <v>0.24</v>
      </c>
      <c r="W225" s="3">
        <v>0.41</v>
      </c>
      <c r="X225" s="3">
        <v>0.06</v>
      </c>
      <c r="Y225" s="3">
        <v>1.06</v>
      </c>
      <c r="Z225" s="3">
        <v>0.09</v>
      </c>
      <c r="AA225" s="3">
        <v>6.12</v>
      </c>
      <c r="AB225" s="3">
        <v>0.1</v>
      </c>
      <c r="AC225" s="3">
        <v>0.83</v>
      </c>
      <c r="AD225" s="3">
        <v>0.02</v>
      </c>
      <c r="AE225" s="3">
        <v>421</v>
      </c>
      <c r="AF225" s="3">
        <v>56</v>
      </c>
      <c r="AG225" s="3">
        <v>285</v>
      </c>
      <c r="AH225" s="3">
        <v>20</v>
      </c>
      <c r="AI225" s="3">
        <v>104</v>
      </c>
      <c r="AJ225" s="3">
        <v>19</v>
      </c>
    </row>
    <row r="226" spans="1:36" x14ac:dyDescent="0.25">
      <c r="A226" s="7">
        <v>2834</v>
      </c>
      <c r="B226" s="3" t="s">
        <v>4</v>
      </c>
      <c r="C226" s="3" t="s">
        <v>516</v>
      </c>
      <c r="D226" s="3"/>
      <c r="E226" s="3">
        <v>45.69</v>
      </c>
      <c r="F226" s="3">
        <v>0.46</v>
      </c>
      <c r="G226" s="3">
        <v>1.01</v>
      </c>
      <c r="H226" s="3">
        <v>7.0000000000000007E-2</v>
      </c>
      <c r="I226" s="3">
        <v>9.17</v>
      </c>
      <c r="J226" s="3">
        <v>0.14000000000000001</v>
      </c>
      <c r="K226" s="3">
        <v>0.18</v>
      </c>
      <c r="L226" s="3">
        <v>0.03</v>
      </c>
      <c r="M226" s="3">
        <v>17.8</v>
      </c>
      <c r="N226" s="3">
        <v>0.14000000000000001</v>
      </c>
      <c r="O226" s="3">
        <v>0.44</v>
      </c>
      <c r="P226" s="3">
        <v>0.02</v>
      </c>
      <c r="Q226" s="3">
        <v>9.08</v>
      </c>
      <c r="R226" s="3">
        <v>0.13</v>
      </c>
      <c r="S226" s="3">
        <v>5.89</v>
      </c>
      <c r="T226" s="3">
        <v>0.06</v>
      </c>
      <c r="U226" s="3">
        <v>2.19</v>
      </c>
      <c r="V226" s="3">
        <v>0.22</v>
      </c>
      <c r="W226" s="3">
        <v>0.42</v>
      </c>
      <c r="X226" s="3">
        <v>0.06</v>
      </c>
      <c r="Y226" s="3">
        <v>1.07</v>
      </c>
      <c r="Z226" s="3">
        <v>0.08</v>
      </c>
      <c r="AA226" s="3">
        <v>6.1</v>
      </c>
      <c r="AB226" s="3">
        <v>0.1</v>
      </c>
      <c r="AC226" s="3">
        <v>0.85</v>
      </c>
      <c r="AD226" s="3">
        <v>0.02</v>
      </c>
      <c r="AE226" s="3">
        <v>524</v>
      </c>
      <c r="AF226" s="3">
        <v>57</v>
      </c>
      <c r="AG226" s="3">
        <v>280</v>
      </c>
      <c r="AH226" s="3">
        <v>19</v>
      </c>
      <c r="AI226" s="3">
        <v>96</v>
      </c>
      <c r="AJ226" s="3">
        <v>18</v>
      </c>
    </row>
    <row r="227" spans="1:36" x14ac:dyDescent="0.25">
      <c r="A227" s="7">
        <v>2895</v>
      </c>
      <c r="B227" s="3" t="s">
        <v>4</v>
      </c>
      <c r="C227" s="3" t="s">
        <v>517</v>
      </c>
      <c r="D227" s="3"/>
      <c r="E227" s="3">
        <v>45.68</v>
      </c>
      <c r="F227" s="3">
        <v>0.47</v>
      </c>
      <c r="G227" s="3">
        <v>1</v>
      </c>
      <c r="H227" s="3">
        <v>0.08</v>
      </c>
      <c r="I227" s="3">
        <v>9.3000000000000007</v>
      </c>
      <c r="J227" s="3">
        <v>0.15</v>
      </c>
      <c r="K227" s="3">
        <v>0.23</v>
      </c>
      <c r="L227" s="3">
        <v>0.04</v>
      </c>
      <c r="M227" s="3">
        <v>17.850000000000001</v>
      </c>
      <c r="N227" s="3">
        <v>0.14000000000000001</v>
      </c>
      <c r="O227" s="3">
        <v>0.37</v>
      </c>
      <c r="P227" s="3">
        <v>0.02</v>
      </c>
      <c r="Q227" s="3">
        <v>8.6</v>
      </c>
      <c r="R227" s="3">
        <v>0.14000000000000001</v>
      </c>
      <c r="S227" s="3">
        <v>5.83</v>
      </c>
      <c r="T227" s="3">
        <v>0.06</v>
      </c>
      <c r="U227" s="3">
        <v>2.15</v>
      </c>
      <c r="V227" s="3">
        <v>0.24</v>
      </c>
      <c r="W227" s="3">
        <v>0.47</v>
      </c>
      <c r="X227" s="3">
        <v>0.06</v>
      </c>
      <c r="Y227" s="3">
        <v>1.04</v>
      </c>
      <c r="Z227" s="3">
        <v>0.09</v>
      </c>
      <c r="AA227" s="3">
        <v>6.46</v>
      </c>
      <c r="AB227" s="3">
        <v>0.11</v>
      </c>
      <c r="AC227" s="3">
        <v>0.9</v>
      </c>
      <c r="AD227" s="3">
        <v>0.02</v>
      </c>
      <c r="AE227" s="3">
        <v>576</v>
      </c>
      <c r="AF227" s="3">
        <v>61</v>
      </c>
      <c r="AG227" s="3">
        <v>298</v>
      </c>
      <c r="AH227" s="3">
        <v>22</v>
      </c>
      <c r="AI227" s="3">
        <v>134</v>
      </c>
      <c r="AJ227" s="3">
        <v>21</v>
      </c>
    </row>
    <row r="228" spans="1:36" x14ac:dyDescent="0.25">
      <c r="A228" s="7">
        <v>2920</v>
      </c>
      <c r="B228" s="3" t="s">
        <v>4</v>
      </c>
      <c r="C228" s="3" t="s">
        <v>518</v>
      </c>
      <c r="D228" s="3"/>
      <c r="E228" s="3">
        <v>46.01</v>
      </c>
      <c r="F228" s="3">
        <v>0.55000000000000004</v>
      </c>
      <c r="G228" s="3">
        <v>1.07</v>
      </c>
      <c r="H228" s="3">
        <v>0.09</v>
      </c>
      <c r="I228" s="3">
        <v>9.9700000000000006</v>
      </c>
      <c r="J228" s="3">
        <v>0.19</v>
      </c>
      <c r="K228" s="3">
        <v>0.19</v>
      </c>
      <c r="L228" s="3">
        <v>0.04</v>
      </c>
      <c r="M228" s="3">
        <v>17.100000000000001</v>
      </c>
      <c r="N228" s="3">
        <v>0.17</v>
      </c>
      <c r="O228" s="3">
        <v>0.48</v>
      </c>
      <c r="P228" s="3">
        <v>0.02</v>
      </c>
      <c r="Q228" s="3">
        <v>7.53</v>
      </c>
      <c r="R228" s="3">
        <v>0.16</v>
      </c>
      <c r="S228" s="3">
        <v>7.48</v>
      </c>
      <c r="T228" s="3">
        <v>0.09</v>
      </c>
      <c r="U228" s="3">
        <v>2.33</v>
      </c>
      <c r="V228" s="3">
        <v>0.27</v>
      </c>
      <c r="W228" s="3">
        <v>0.5</v>
      </c>
      <c r="X228" s="3">
        <v>7.0000000000000007E-2</v>
      </c>
      <c r="Y228" s="3">
        <v>1.1100000000000001</v>
      </c>
      <c r="Z228" s="3">
        <v>0.1</v>
      </c>
      <c r="AA228" s="3">
        <v>5.41</v>
      </c>
      <c r="AB228" s="3">
        <v>0.12</v>
      </c>
      <c r="AC228" s="3">
        <v>0.74</v>
      </c>
      <c r="AD228" s="3">
        <v>0.03</v>
      </c>
      <c r="AE228" s="3">
        <v>306</v>
      </c>
      <c r="AF228" s="3">
        <v>71</v>
      </c>
      <c r="AG228" s="3">
        <v>194</v>
      </c>
      <c r="AH228" s="3">
        <v>27</v>
      </c>
      <c r="AI228" s="3">
        <v>103</v>
      </c>
      <c r="AJ228" s="3">
        <v>24</v>
      </c>
    </row>
    <row r="229" spans="1:36" x14ac:dyDescent="0.25">
      <c r="A229" s="7">
        <v>2922</v>
      </c>
      <c r="B229" s="3" t="s">
        <v>4</v>
      </c>
      <c r="C229" s="3" t="s">
        <v>519</v>
      </c>
      <c r="D229" s="3"/>
      <c r="E229" s="3">
        <v>45.91</v>
      </c>
      <c r="F229" s="3">
        <v>0.53</v>
      </c>
      <c r="G229" s="3">
        <v>1.18</v>
      </c>
      <c r="H229" s="3">
        <v>0.09</v>
      </c>
      <c r="I229" s="3">
        <v>9.23</v>
      </c>
      <c r="J229" s="3">
        <v>0.18</v>
      </c>
      <c r="K229" s="3">
        <v>0.26</v>
      </c>
      <c r="L229" s="3">
        <v>0.04</v>
      </c>
      <c r="M229" s="3">
        <v>17.670000000000002</v>
      </c>
      <c r="N229" s="3">
        <v>0.17</v>
      </c>
      <c r="O229" s="3">
        <v>0.57999999999999996</v>
      </c>
      <c r="P229" s="3">
        <v>0.03</v>
      </c>
      <c r="Q229" s="3">
        <v>7.02</v>
      </c>
      <c r="R229" s="3">
        <v>0.15</v>
      </c>
      <c r="S229" s="3">
        <v>6.96</v>
      </c>
      <c r="T229" s="3">
        <v>0.09</v>
      </c>
      <c r="U229" s="3">
        <v>2.25</v>
      </c>
      <c r="V229" s="3">
        <v>0.26</v>
      </c>
      <c r="W229" s="3">
        <v>0.48</v>
      </c>
      <c r="X229" s="3">
        <v>7.0000000000000007E-2</v>
      </c>
      <c r="Y229" s="3">
        <v>0.99</v>
      </c>
      <c r="Z229" s="3">
        <v>0.1</v>
      </c>
      <c r="AA229" s="3">
        <v>6.47</v>
      </c>
      <c r="AB229" s="3">
        <v>0.14000000000000001</v>
      </c>
      <c r="AC229" s="3">
        <v>0.89</v>
      </c>
      <c r="AD229" s="3">
        <v>0.03</v>
      </c>
      <c r="AE229" s="3">
        <v>249</v>
      </c>
      <c r="AF229" s="3">
        <v>70</v>
      </c>
      <c r="AG229" s="3">
        <v>328</v>
      </c>
      <c r="AH229" s="3">
        <v>31</v>
      </c>
      <c r="AI229" s="3">
        <v>132</v>
      </c>
      <c r="AJ229" s="3">
        <v>23</v>
      </c>
    </row>
    <row r="230" spans="1:36" x14ac:dyDescent="0.25">
      <c r="A230" s="7">
        <v>2924</v>
      </c>
      <c r="B230" s="3" t="s">
        <v>4</v>
      </c>
      <c r="C230" s="3" t="s">
        <v>520</v>
      </c>
      <c r="D230" s="3"/>
      <c r="E230" s="3">
        <v>45.94</v>
      </c>
      <c r="F230" s="3">
        <v>0.57999999999999996</v>
      </c>
      <c r="G230" s="3">
        <v>1.03</v>
      </c>
      <c r="H230" s="3">
        <v>0.09</v>
      </c>
      <c r="I230" s="3">
        <v>9.1199999999999992</v>
      </c>
      <c r="J230" s="3">
        <v>0.19</v>
      </c>
      <c r="K230" s="3">
        <v>0.23</v>
      </c>
      <c r="L230" s="3">
        <v>0.05</v>
      </c>
      <c r="M230" s="3">
        <v>17.75</v>
      </c>
      <c r="N230" s="3">
        <v>0.19</v>
      </c>
      <c r="O230" s="3">
        <v>0.41</v>
      </c>
      <c r="P230" s="3">
        <v>0.03</v>
      </c>
      <c r="Q230" s="3">
        <v>7.44</v>
      </c>
      <c r="R230" s="3">
        <v>0.17</v>
      </c>
      <c r="S230" s="3">
        <v>6.99</v>
      </c>
      <c r="T230" s="3">
        <v>0.1</v>
      </c>
      <c r="U230" s="3">
        <v>1.77</v>
      </c>
      <c r="V230" s="3">
        <v>0.26</v>
      </c>
      <c r="W230" s="3">
        <v>0.45</v>
      </c>
      <c r="X230" s="3">
        <v>7.0000000000000007E-2</v>
      </c>
      <c r="Y230" s="3">
        <v>1.1100000000000001</v>
      </c>
      <c r="Z230" s="3">
        <v>0.11</v>
      </c>
      <c r="AA230" s="3">
        <v>6.73</v>
      </c>
      <c r="AB230" s="3">
        <v>0.15</v>
      </c>
      <c r="AC230" s="3">
        <v>0.94</v>
      </c>
      <c r="AD230" s="3">
        <v>0.03</v>
      </c>
      <c r="AE230" s="3">
        <v>221</v>
      </c>
      <c r="AF230" s="3">
        <v>80</v>
      </c>
      <c r="AG230" s="3">
        <v>317</v>
      </c>
      <c r="AH230" s="3">
        <v>36</v>
      </c>
      <c r="AI230" s="3">
        <v>177</v>
      </c>
      <c r="AJ230" s="3">
        <v>27</v>
      </c>
    </row>
    <row r="231" spans="1:36" x14ac:dyDescent="0.25">
      <c r="A231" s="7">
        <v>2927</v>
      </c>
      <c r="B231" s="3" t="s">
        <v>4</v>
      </c>
      <c r="C231" s="3" t="s">
        <v>521</v>
      </c>
      <c r="D231" s="3"/>
      <c r="E231" s="3">
        <v>45.17</v>
      </c>
      <c r="F231" s="3">
        <v>0.49</v>
      </c>
      <c r="G231" s="3">
        <v>1.05</v>
      </c>
      <c r="H231" s="3">
        <v>0.08</v>
      </c>
      <c r="I231" s="3">
        <v>9.36</v>
      </c>
      <c r="J231" s="3">
        <v>0.21</v>
      </c>
      <c r="K231" s="3">
        <v>0.25</v>
      </c>
      <c r="L231" s="3">
        <v>0.04</v>
      </c>
      <c r="M231" s="3">
        <v>17.88</v>
      </c>
      <c r="N231" s="3">
        <v>0.15</v>
      </c>
      <c r="O231" s="3">
        <v>0.45</v>
      </c>
      <c r="P231" s="3">
        <v>0.02</v>
      </c>
      <c r="Q231" s="3">
        <v>7.27</v>
      </c>
      <c r="R231" s="3">
        <v>0.14000000000000001</v>
      </c>
      <c r="S231" s="3">
        <v>7.1</v>
      </c>
      <c r="T231" s="3">
        <v>7.0000000000000007E-2</v>
      </c>
      <c r="U231" s="3">
        <v>2.37</v>
      </c>
      <c r="V231" s="3">
        <v>0.25</v>
      </c>
      <c r="W231" s="3">
        <v>0.46</v>
      </c>
      <c r="X231" s="3">
        <v>0.06</v>
      </c>
      <c r="Y231" s="3">
        <v>1.07</v>
      </c>
      <c r="Z231" s="3">
        <v>0.09</v>
      </c>
      <c r="AA231" s="3">
        <v>6.57</v>
      </c>
      <c r="AB231" s="3">
        <v>0.11</v>
      </c>
      <c r="AC231" s="3">
        <v>0.9</v>
      </c>
      <c r="AD231" s="3">
        <v>0.02</v>
      </c>
      <c r="AE231" s="3">
        <v>472</v>
      </c>
      <c r="AF231" s="3">
        <v>61</v>
      </c>
      <c r="AG231" s="3">
        <v>244</v>
      </c>
      <c r="AH231" s="3">
        <v>21</v>
      </c>
      <c r="AI231" s="3">
        <v>121</v>
      </c>
      <c r="AJ231" s="3">
        <v>21</v>
      </c>
    </row>
    <row r="232" spans="1:36" x14ac:dyDescent="0.25">
      <c r="A232" s="7">
        <v>2929</v>
      </c>
      <c r="B232" s="3" t="s">
        <v>4</v>
      </c>
      <c r="C232" s="3" t="s">
        <v>522</v>
      </c>
      <c r="D232" s="3"/>
      <c r="E232" s="3">
        <v>46.13</v>
      </c>
      <c r="F232" s="3">
        <v>0.49</v>
      </c>
      <c r="G232" s="3">
        <v>1.1499999999999999</v>
      </c>
      <c r="H232" s="3">
        <v>0.08</v>
      </c>
      <c r="I232" s="3">
        <v>9.48</v>
      </c>
      <c r="J232" s="3">
        <v>0.14000000000000001</v>
      </c>
      <c r="K232" s="3">
        <v>0.28999999999999998</v>
      </c>
      <c r="L232" s="3">
        <v>0.04</v>
      </c>
      <c r="M232" s="3">
        <v>17.73</v>
      </c>
      <c r="N232" s="3">
        <v>0.15</v>
      </c>
      <c r="O232" s="3">
        <v>0.39</v>
      </c>
      <c r="P232" s="3">
        <v>0.02</v>
      </c>
      <c r="Q232" s="3">
        <v>7.08</v>
      </c>
      <c r="R232" s="3">
        <v>0.13</v>
      </c>
      <c r="S232" s="3">
        <v>6.95</v>
      </c>
      <c r="T232" s="3">
        <v>0.08</v>
      </c>
      <c r="U232" s="3">
        <v>2.2999999999999998</v>
      </c>
      <c r="V232" s="3">
        <v>0.25</v>
      </c>
      <c r="W232" s="3">
        <v>0.45</v>
      </c>
      <c r="X232" s="3">
        <v>0.06</v>
      </c>
      <c r="Y232" s="3">
        <v>0.99</v>
      </c>
      <c r="Z232" s="3">
        <v>0.09</v>
      </c>
      <c r="AA232" s="3">
        <v>6.09</v>
      </c>
      <c r="AB232" s="3">
        <v>0.11</v>
      </c>
      <c r="AC232" s="3">
        <v>0.83</v>
      </c>
      <c r="AD232" s="3">
        <v>0.02</v>
      </c>
      <c r="AE232" s="3">
        <v>447</v>
      </c>
      <c r="AF232" s="3">
        <v>65</v>
      </c>
      <c r="AG232" s="3">
        <v>255</v>
      </c>
      <c r="AH232" s="3">
        <v>24</v>
      </c>
      <c r="AI232" s="3">
        <v>108</v>
      </c>
      <c r="AJ232" s="3">
        <v>21</v>
      </c>
    </row>
    <row r="233" spans="1:36" x14ac:dyDescent="0.25">
      <c r="A233" s="7">
        <v>2931</v>
      </c>
      <c r="B233" s="3" t="s">
        <v>4</v>
      </c>
      <c r="C233" s="3" t="s">
        <v>523</v>
      </c>
      <c r="D233" s="3"/>
      <c r="E233" s="3">
        <v>45.81</v>
      </c>
      <c r="F233" s="3">
        <v>0.5</v>
      </c>
      <c r="G233" s="3">
        <v>1.1200000000000001</v>
      </c>
      <c r="H233" s="3">
        <v>0.08</v>
      </c>
      <c r="I233" s="3">
        <v>9.3800000000000008</v>
      </c>
      <c r="J233" s="3">
        <v>0.15</v>
      </c>
      <c r="K233" s="3">
        <v>0.28999999999999998</v>
      </c>
      <c r="L233" s="3">
        <v>0.04</v>
      </c>
      <c r="M233" s="3">
        <v>16.940000000000001</v>
      </c>
      <c r="N233" s="3">
        <v>0.15</v>
      </c>
      <c r="O233" s="3">
        <v>0.53</v>
      </c>
      <c r="P233" s="3">
        <v>0.02</v>
      </c>
      <c r="Q233" s="3">
        <v>7.57</v>
      </c>
      <c r="R233" s="3">
        <v>0.14000000000000001</v>
      </c>
      <c r="S233" s="3">
        <v>6.89</v>
      </c>
      <c r="T233" s="3">
        <v>0.08</v>
      </c>
      <c r="U233" s="3">
        <v>2.34</v>
      </c>
      <c r="V233" s="3">
        <v>0.26</v>
      </c>
      <c r="W233" s="3">
        <v>0.45</v>
      </c>
      <c r="X233" s="3">
        <v>0.06</v>
      </c>
      <c r="Y233" s="3">
        <v>1.03</v>
      </c>
      <c r="Z233" s="3">
        <v>0.09</v>
      </c>
      <c r="AA233" s="3">
        <v>6.5</v>
      </c>
      <c r="AB233" s="3">
        <v>0.12</v>
      </c>
      <c r="AC233" s="3">
        <v>1.04</v>
      </c>
      <c r="AD233" s="3">
        <v>0.03</v>
      </c>
      <c r="AE233" s="3">
        <v>410</v>
      </c>
      <c r="AF233" s="3">
        <v>65</v>
      </c>
      <c r="AG233" s="3">
        <v>309</v>
      </c>
      <c r="AH233" s="3">
        <v>26</v>
      </c>
      <c r="AI233" s="3">
        <v>90</v>
      </c>
      <c r="AJ233" s="3">
        <v>22</v>
      </c>
    </row>
    <row r="234" spans="1:36" x14ac:dyDescent="0.25">
      <c r="A234" s="7">
        <v>2935</v>
      </c>
      <c r="B234" s="3" t="s">
        <v>4</v>
      </c>
      <c r="C234" s="3" t="s">
        <v>524</v>
      </c>
      <c r="D234" s="3"/>
      <c r="E234" s="3">
        <v>45.5</v>
      </c>
      <c r="F234" s="3">
        <v>0.43</v>
      </c>
      <c r="G234" s="3">
        <v>1.1599999999999999</v>
      </c>
      <c r="H234" s="3">
        <v>0.08</v>
      </c>
      <c r="I234" s="3">
        <v>9.25</v>
      </c>
      <c r="J234" s="3">
        <v>0.14000000000000001</v>
      </c>
      <c r="K234" s="3">
        <v>0.26</v>
      </c>
      <c r="L234" s="3">
        <v>0.04</v>
      </c>
      <c r="M234" s="3">
        <v>17.41</v>
      </c>
      <c r="N234" s="3">
        <v>0.13</v>
      </c>
      <c r="O234" s="3">
        <v>0.51</v>
      </c>
      <c r="P234" s="3">
        <v>0.02</v>
      </c>
      <c r="Q234" s="3">
        <v>7.37</v>
      </c>
      <c r="R234" s="3">
        <v>0.11</v>
      </c>
      <c r="S234" s="3">
        <v>7.05</v>
      </c>
      <c r="T234" s="3">
        <v>7.0000000000000007E-2</v>
      </c>
      <c r="U234" s="3">
        <v>2.2400000000000002</v>
      </c>
      <c r="V234" s="3">
        <v>0.21</v>
      </c>
      <c r="W234" s="3">
        <v>0.47</v>
      </c>
      <c r="X234" s="3">
        <v>0.06</v>
      </c>
      <c r="Y234" s="3">
        <v>1.03</v>
      </c>
      <c r="Z234" s="3">
        <v>0.09</v>
      </c>
      <c r="AA234" s="3">
        <v>6.68</v>
      </c>
      <c r="AB234" s="3">
        <v>0.11</v>
      </c>
      <c r="AC234" s="3">
        <v>0.98</v>
      </c>
      <c r="AD234" s="3">
        <v>0.03</v>
      </c>
      <c r="AE234" s="3">
        <v>353</v>
      </c>
      <c r="AF234" s="3">
        <v>64</v>
      </c>
      <c r="AG234" s="3">
        <v>295</v>
      </c>
      <c r="AH234" s="3">
        <v>26</v>
      </c>
      <c r="AI234" s="3">
        <v>84</v>
      </c>
      <c r="AJ234" s="3">
        <v>21</v>
      </c>
    </row>
    <row r="235" spans="1:36" x14ac:dyDescent="0.25">
      <c r="A235" s="7">
        <v>2937</v>
      </c>
      <c r="B235" s="3" t="s">
        <v>4</v>
      </c>
      <c r="C235" s="3" t="s">
        <v>525</v>
      </c>
      <c r="D235" s="3"/>
      <c r="E235" s="3">
        <v>45.78</v>
      </c>
      <c r="F235" s="3">
        <v>0.53</v>
      </c>
      <c r="G235" s="3">
        <v>1.1000000000000001</v>
      </c>
      <c r="H235" s="3">
        <v>0.09</v>
      </c>
      <c r="I235" s="3">
        <v>9.24</v>
      </c>
      <c r="J235" s="3">
        <v>0.17</v>
      </c>
      <c r="K235" s="3">
        <v>0.25</v>
      </c>
      <c r="L235" s="3">
        <v>0.04</v>
      </c>
      <c r="M235" s="3">
        <v>17.670000000000002</v>
      </c>
      <c r="N235" s="3">
        <v>0.16</v>
      </c>
      <c r="O235" s="3">
        <v>0.38</v>
      </c>
      <c r="P235" s="3">
        <v>0.02</v>
      </c>
      <c r="Q235" s="3">
        <v>7.44</v>
      </c>
      <c r="R235" s="3">
        <v>0.15</v>
      </c>
      <c r="S235" s="3">
        <v>6.97</v>
      </c>
      <c r="T235" s="3">
        <v>0.08</v>
      </c>
      <c r="U235" s="3">
        <v>2.0699999999999998</v>
      </c>
      <c r="V235" s="3">
        <v>0.26</v>
      </c>
      <c r="W235" s="3">
        <v>0.44</v>
      </c>
      <c r="X235" s="3">
        <v>7.0000000000000007E-2</v>
      </c>
      <c r="Y235" s="3">
        <v>1.08</v>
      </c>
      <c r="Z235" s="3">
        <v>0.1</v>
      </c>
      <c r="AA235" s="3">
        <v>6.58</v>
      </c>
      <c r="AB235" s="3">
        <v>0.13</v>
      </c>
      <c r="AC235" s="3">
        <v>0.93</v>
      </c>
      <c r="AD235" s="3">
        <v>0.03</v>
      </c>
      <c r="AE235" s="3">
        <v>376</v>
      </c>
      <c r="AF235" s="3">
        <v>70</v>
      </c>
      <c r="AG235" s="3">
        <v>267</v>
      </c>
      <c r="AH235" s="3">
        <v>28</v>
      </c>
      <c r="AI235" s="3">
        <v>158</v>
      </c>
      <c r="AJ235" s="3">
        <v>24</v>
      </c>
    </row>
    <row r="236" spans="1:36" x14ac:dyDescent="0.25">
      <c r="A236" s="7">
        <v>2940</v>
      </c>
      <c r="B236" s="3" t="s">
        <v>4</v>
      </c>
      <c r="C236" s="3" t="s">
        <v>526</v>
      </c>
      <c r="D236" s="3"/>
      <c r="E236" s="3">
        <v>44.9</v>
      </c>
      <c r="F236" s="3">
        <v>0.56999999999999995</v>
      </c>
      <c r="G236" s="3">
        <v>1.08</v>
      </c>
      <c r="H236" s="3">
        <v>0.1</v>
      </c>
      <c r="I236" s="3">
        <v>9.2200000000000006</v>
      </c>
      <c r="J236" s="3">
        <v>0.19</v>
      </c>
      <c r="K236" s="3">
        <v>0.19</v>
      </c>
      <c r="L236" s="3">
        <v>0.05</v>
      </c>
      <c r="M236" s="3">
        <v>18.09</v>
      </c>
      <c r="N236" s="3">
        <v>0.19</v>
      </c>
      <c r="O236" s="3">
        <v>0.87</v>
      </c>
      <c r="P236" s="3">
        <v>0.03</v>
      </c>
      <c r="Q236" s="3">
        <v>7.57</v>
      </c>
      <c r="R236" s="3">
        <v>0.17</v>
      </c>
      <c r="S236" s="3">
        <v>6.74</v>
      </c>
      <c r="T236" s="3">
        <v>0.09</v>
      </c>
      <c r="U236" s="3">
        <v>2.25</v>
      </c>
      <c r="V236" s="3">
        <v>0.28000000000000003</v>
      </c>
      <c r="W236" s="3">
        <v>0.46</v>
      </c>
      <c r="X236" s="3">
        <v>7.0000000000000007E-2</v>
      </c>
      <c r="Y236" s="3">
        <v>1.1100000000000001</v>
      </c>
      <c r="Z236" s="3">
        <v>0.11</v>
      </c>
      <c r="AA236" s="3">
        <v>6.48</v>
      </c>
      <c r="AB236" s="3">
        <v>0.15</v>
      </c>
      <c r="AC236" s="3">
        <v>0.9</v>
      </c>
      <c r="AD236" s="3">
        <v>0.03</v>
      </c>
      <c r="AE236" s="3">
        <v>615</v>
      </c>
      <c r="AF236" s="3">
        <v>88</v>
      </c>
      <c r="AG236" s="3">
        <v>337</v>
      </c>
      <c r="AH236" s="3">
        <v>35</v>
      </c>
      <c r="AI236" s="3">
        <v>110</v>
      </c>
      <c r="AJ236" s="3">
        <v>26</v>
      </c>
    </row>
    <row r="237" spans="1:36" x14ac:dyDescent="0.25">
      <c r="A237" s="7">
        <v>2957</v>
      </c>
      <c r="B237" s="3" t="s">
        <v>3</v>
      </c>
      <c r="C237" s="3" t="s">
        <v>527</v>
      </c>
      <c r="D237" s="3"/>
      <c r="E237" s="3">
        <v>44.29</v>
      </c>
      <c r="F237" s="3">
        <v>0.4</v>
      </c>
      <c r="G237" s="3">
        <v>1.03</v>
      </c>
      <c r="H237" s="3">
        <v>7.0000000000000007E-2</v>
      </c>
      <c r="I237" s="3">
        <v>8.83</v>
      </c>
      <c r="J237" s="3">
        <v>0.16</v>
      </c>
      <c r="K237" s="3">
        <v>0.3</v>
      </c>
      <c r="L237" s="3">
        <v>0.03</v>
      </c>
      <c r="M237" s="3">
        <v>18.63</v>
      </c>
      <c r="N237" s="3">
        <v>0.12</v>
      </c>
      <c r="O237" s="3">
        <v>0.37</v>
      </c>
      <c r="P237" s="3">
        <v>0.01</v>
      </c>
      <c r="Q237" s="3">
        <v>7.14</v>
      </c>
      <c r="R237" s="3">
        <v>0.11</v>
      </c>
      <c r="S237" s="3">
        <v>6.72</v>
      </c>
      <c r="T237" s="3">
        <v>0.05</v>
      </c>
      <c r="U237" s="3">
        <v>2.38</v>
      </c>
      <c r="V237" s="3">
        <v>0.2</v>
      </c>
      <c r="W237" s="3">
        <v>0.52</v>
      </c>
      <c r="X237" s="3">
        <v>0.06</v>
      </c>
      <c r="Y237" s="3">
        <v>0.94</v>
      </c>
      <c r="Z237" s="3">
        <v>0.08</v>
      </c>
      <c r="AA237" s="3">
        <v>7.8</v>
      </c>
      <c r="AB237" s="3">
        <v>0.09</v>
      </c>
      <c r="AC237" s="3">
        <v>0.91</v>
      </c>
      <c r="AD237" s="3">
        <v>0.02</v>
      </c>
      <c r="AE237" s="3">
        <v>489</v>
      </c>
      <c r="AF237" s="3">
        <v>44</v>
      </c>
      <c r="AG237" s="3">
        <v>514</v>
      </c>
      <c r="AH237" s="3">
        <v>17</v>
      </c>
      <c r="AI237" s="3">
        <v>46</v>
      </c>
      <c r="AJ237" s="3">
        <v>15</v>
      </c>
    </row>
    <row r="238" spans="1:36" x14ac:dyDescent="0.25">
      <c r="A238" s="7">
        <v>2960</v>
      </c>
      <c r="B238" s="3" t="s">
        <v>8</v>
      </c>
      <c r="C238" s="3" t="s">
        <v>528</v>
      </c>
      <c r="D238" s="3"/>
      <c r="E238" s="3">
        <v>45.09</v>
      </c>
      <c r="F238" s="3">
        <v>0.49</v>
      </c>
      <c r="G238" s="3">
        <v>1.1000000000000001</v>
      </c>
      <c r="H238" s="3">
        <v>0.08</v>
      </c>
      <c r="I238" s="3">
        <v>9.08</v>
      </c>
      <c r="J238" s="3">
        <v>0.21</v>
      </c>
      <c r="K238" s="3">
        <v>0.33</v>
      </c>
      <c r="L238" s="3">
        <v>0.04</v>
      </c>
      <c r="M238" s="3">
        <v>18.39</v>
      </c>
      <c r="N238" s="3">
        <v>0.15</v>
      </c>
      <c r="O238" s="3">
        <v>0.37</v>
      </c>
      <c r="P238" s="3">
        <v>0.02</v>
      </c>
      <c r="Q238" s="3">
        <v>7.16</v>
      </c>
      <c r="R238" s="3">
        <v>0.15</v>
      </c>
      <c r="S238" s="3">
        <v>6.93</v>
      </c>
      <c r="T238" s="3">
        <v>7.0000000000000007E-2</v>
      </c>
      <c r="U238" s="3">
        <v>2.25</v>
      </c>
      <c r="V238" s="3">
        <v>0.25</v>
      </c>
      <c r="W238" s="3">
        <v>0.5</v>
      </c>
      <c r="X238" s="3">
        <v>0.06</v>
      </c>
      <c r="Y238" s="3">
        <v>0.91</v>
      </c>
      <c r="Z238" s="3">
        <v>0.09</v>
      </c>
      <c r="AA238" s="3">
        <v>6.97</v>
      </c>
      <c r="AB238" s="3">
        <v>0.11</v>
      </c>
      <c r="AC238" s="3">
        <v>0.78</v>
      </c>
      <c r="AD238" s="3">
        <v>0.02</v>
      </c>
      <c r="AE238" s="3">
        <v>400</v>
      </c>
      <c r="AF238" s="3">
        <v>58</v>
      </c>
      <c r="AG238" s="3">
        <v>472</v>
      </c>
      <c r="AH238" s="3">
        <v>26</v>
      </c>
      <c r="AI238" s="3">
        <v>40</v>
      </c>
      <c r="AJ238" s="3">
        <v>19</v>
      </c>
    </row>
    <row r="239" spans="1:36" x14ac:dyDescent="0.25">
      <c r="A239" s="7">
        <v>2974</v>
      </c>
      <c r="B239" s="3" t="s">
        <v>4</v>
      </c>
      <c r="C239" s="3" t="s">
        <v>529</v>
      </c>
      <c r="D239" s="3"/>
      <c r="E239" s="3">
        <v>25.84</v>
      </c>
      <c r="F239" s="3">
        <v>0.28999999999999998</v>
      </c>
      <c r="G239" s="3">
        <v>0.3</v>
      </c>
      <c r="H239" s="3">
        <v>7.0000000000000007E-2</v>
      </c>
      <c r="I239" s="3">
        <v>5.35</v>
      </c>
      <c r="J239" s="3">
        <v>0.1</v>
      </c>
      <c r="K239" s="3">
        <v>0.08</v>
      </c>
      <c r="L239" s="3">
        <v>0.03</v>
      </c>
      <c r="M239" s="3">
        <v>6.35</v>
      </c>
      <c r="N239" s="3">
        <v>7.0000000000000007E-2</v>
      </c>
      <c r="O239" s="3">
        <v>0.14000000000000001</v>
      </c>
      <c r="P239" s="3">
        <v>0.01</v>
      </c>
      <c r="Q239" s="3">
        <v>5.03</v>
      </c>
      <c r="R239" s="3">
        <v>0.11</v>
      </c>
      <c r="S239" s="3">
        <v>22.1</v>
      </c>
      <c r="T239" s="3">
        <v>0.16</v>
      </c>
      <c r="U239" s="3">
        <v>1.21</v>
      </c>
      <c r="V239" s="3">
        <v>0.21</v>
      </c>
      <c r="W239" s="3">
        <v>0.34</v>
      </c>
      <c r="X239" s="3">
        <v>0.06</v>
      </c>
      <c r="Y239" s="3">
        <v>0.85</v>
      </c>
      <c r="Z239" s="3">
        <v>0.1</v>
      </c>
      <c r="AA239" s="3">
        <v>31.32</v>
      </c>
      <c r="AB239" s="3">
        <v>0.33</v>
      </c>
      <c r="AC239" s="3">
        <v>1.1100000000000001</v>
      </c>
      <c r="AD239" s="3">
        <v>0.03</v>
      </c>
      <c r="AE239" s="3">
        <v>51</v>
      </c>
      <c r="AF239" s="3">
        <v>48</v>
      </c>
      <c r="AG239" s="3">
        <v>170</v>
      </c>
      <c r="AH239" s="3">
        <v>17</v>
      </c>
      <c r="AI239" s="3">
        <v>106</v>
      </c>
      <c r="AJ239" s="3">
        <v>19</v>
      </c>
    </row>
    <row r="240" spans="1:36" x14ac:dyDescent="0.25">
      <c r="A240" s="7">
        <v>2976</v>
      </c>
      <c r="B240" s="3" t="s">
        <v>4</v>
      </c>
      <c r="C240" s="3" t="s">
        <v>530</v>
      </c>
      <c r="D240" s="3"/>
      <c r="E240" s="3">
        <v>27.99</v>
      </c>
      <c r="F240" s="3">
        <v>0.37</v>
      </c>
      <c r="G240" s="3">
        <v>0.27</v>
      </c>
      <c r="H240" s="3">
        <v>0.06</v>
      </c>
      <c r="I240" s="3">
        <v>5.27</v>
      </c>
      <c r="J240" s="3">
        <v>0.12</v>
      </c>
      <c r="K240" s="3">
        <v>0.09</v>
      </c>
      <c r="L240" s="3">
        <v>0.04</v>
      </c>
      <c r="M240" s="3">
        <v>7.01</v>
      </c>
      <c r="N240" s="3">
        <v>0.09</v>
      </c>
      <c r="O240" s="3">
        <v>0.17</v>
      </c>
      <c r="P240" s="3">
        <v>0.02</v>
      </c>
      <c r="Q240" s="3">
        <v>5.0199999999999996</v>
      </c>
      <c r="R240" s="3">
        <v>0.13</v>
      </c>
      <c r="S240" s="3">
        <v>20.67</v>
      </c>
      <c r="T240" s="3">
        <v>0.18</v>
      </c>
      <c r="U240" s="3">
        <v>1.61</v>
      </c>
      <c r="V240" s="3">
        <v>0.27</v>
      </c>
      <c r="W240" s="3">
        <v>0.31</v>
      </c>
      <c r="X240" s="3">
        <v>7.0000000000000007E-2</v>
      </c>
      <c r="Y240" s="3">
        <v>0.82</v>
      </c>
      <c r="Z240" s="3">
        <v>0.11</v>
      </c>
      <c r="AA240" s="3">
        <v>29.67</v>
      </c>
      <c r="AB240" s="3">
        <v>0.37</v>
      </c>
      <c r="AC240" s="3">
        <v>1.08</v>
      </c>
      <c r="AD240" s="3">
        <v>0.04</v>
      </c>
      <c r="AE240" s="3">
        <v>110</v>
      </c>
      <c r="AF240" s="3">
        <v>57</v>
      </c>
      <c r="AG240" s="3">
        <v>165</v>
      </c>
      <c r="AH240" s="3">
        <v>22</v>
      </c>
      <c r="AI240" s="3">
        <v>146</v>
      </c>
      <c r="AJ240" s="3">
        <v>22</v>
      </c>
    </row>
    <row r="241" spans="1:36" x14ac:dyDescent="0.25">
      <c r="A241" s="7">
        <v>2990</v>
      </c>
      <c r="B241" s="3" t="s">
        <v>4</v>
      </c>
      <c r="C241" s="3" t="s">
        <v>531</v>
      </c>
      <c r="D241" s="3"/>
      <c r="E241" s="3">
        <v>44.43</v>
      </c>
      <c r="F241" s="3">
        <v>0.39</v>
      </c>
      <c r="G241" s="3">
        <v>0.97</v>
      </c>
      <c r="H241" s="3">
        <v>7.0000000000000007E-2</v>
      </c>
      <c r="I241" s="3">
        <v>8.2100000000000009</v>
      </c>
      <c r="J241" s="3">
        <v>0.1</v>
      </c>
      <c r="K241" s="3">
        <v>0.23</v>
      </c>
      <c r="L241" s="3">
        <v>0.03</v>
      </c>
      <c r="M241" s="3">
        <v>19.64</v>
      </c>
      <c r="N241" s="3">
        <v>0.13</v>
      </c>
      <c r="O241" s="3">
        <v>0.22</v>
      </c>
      <c r="P241" s="3">
        <v>0.01</v>
      </c>
      <c r="Q241" s="3">
        <v>6.03</v>
      </c>
      <c r="R241" s="3">
        <v>0.09</v>
      </c>
      <c r="S241" s="3">
        <v>5.71</v>
      </c>
      <c r="T241" s="3">
        <v>0.05</v>
      </c>
      <c r="U241" s="3">
        <v>2.2799999999999998</v>
      </c>
      <c r="V241" s="3">
        <v>0.19</v>
      </c>
      <c r="W241" s="3">
        <v>0.63</v>
      </c>
      <c r="X241" s="3">
        <v>0.06</v>
      </c>
      <c r="Y241" s="3">
        <v>1.0900000000000001</v>
      </c>
      <c r="Z241" s="3">
        <v>0.08</v>
      </c>
      <c r="AA241" s="3">
        <v>8.49</v>
      </c>
      <c r="AB241" s="3">
        <v>0.1</v>
      </c>
      <c r="AC241" s="3">
        <v>1.88</v>
      </c>
      <c r="AD241" s="3">
        <v>0.03</v>
      </c>
      <c r="AE241" s="3">
        <v>425</v>
      </c>
      <c r="AF241" s="3">
        <v>46</v>
      </c>
      <c r="AG241" s="3">
        <v>863</v>
      </c>
      <c r="AH241" s="3">
        <v>22</v>
      </c>
      <c r="AI241" s="3">
        <v>448</v>
      </c>
      <c r="AJ241" s="3">
        <v>21</v>
      </c>
    </row>
    <row r="242" spans="1:36" x14ac:dyDescent="0.25">
      <c r="A242" s="7">
        <v>2992</v>
      </c>
      <c r="B242" s="3" t="s">
        <v>4</v>
      </c>
      <c r="C242" s="3" t="s">
        <v>532</v>
      </c>
      <c r="D242" s="3"/>
      <c r="E242" s="3">
        <v>43.92</v>
      </c>
      <c r="F242" s="3">
        <v>0.45</v>
      </c>
      <c r="G242" s="3">
        <v>0.97</v>
      </c>
      <c r="H242" s="3">
        <v>7.0000000000000007E-2</v>
      </c>
      <c r="I242" s="3">
        <v>8.07</v>
      </c>
      <c r="J242" s="3">
        <v>0.13</v>
      </c>
      <c r="K242" s="3">
        <v>0.23</v>
      </c>
      <c r="L242" s="3">
        <v>0.04</v>
      </c>
      <c r="M242" s="3">
        <v>18.45</v>
      </c>
      <c r="N242" s="3">
        <v>0.14000000000000001</v>
      </c>
      <c r="O242" s="3">
        <v>0.22</v>
      </c>
      <c r="P242" s="3">
        <v>0.01</v>
      </c>
      <c r="Q242" s="3">
        <v>5.89</v>
      </c>
      <c r="R242" s="3">
        <v>0.1</v>
      </c>
      <c r="S242" s="3">
        <v>6.73</v>
      </c>
      <c r="T242" s="3">
        <v>0.06</v>
      </c>
      <c r="U242" s="3">
        <v>2.23</v>
      </c>
      <c r="V242" s="3">
        <v>0.22</v>
      </c>
      <c r="W242" s="3">
        <v>0.63</v>
      </c>
      <c r="X242" s="3">
        <v>0.06</v>
      </c>
      <c r="Y242" s="3">
        <v>1</v>
      </c>
      <c r="Z242" s="3">
        <v>0.09</v>
      </c>
      <c r="AA242" s="3">
        <v>9.76</v>
      </c>
      <c r="AB242" s="3">
        <v>0.13</v>
      </c>
      <c r="AC242" s="3">
        <v>1.74</v>
      </c>
      <c r="AD242" s="3">
        <v>0.03</v>
      </c>
      <c r="AE242" s="3">
        <v>372</v>
      </c>
      <c r="AF242" s="3">
        <v>54</v>
      </c>
      <c r="AG242" s="3">
        <v>762</v>
      </c>
      <c r="AH242" s="3">
        <v>28</v>
      </c>
      <c r="AI242" s="3">
        <v>343</v>
      </c>
      <c r="AJ242" s="3">
        <v>23</v>
      </c>
    </row>
    <row r="243" spans="1:36" x14ac:dyDescent="0.25">
      <c r="A243" s="7">
        <v>2995</v>
      </c>
      <c r="B243" s="3" t="s">
        <v>5</v>
      </c>
      <c r="C243" s="3" t="s">
        <v>533</v>
      </c>
      <c r="D243" s="3"/>
      <c r="E243" s="3">
        <v>45.11</v>
      </c>
      <c r="F243" s="3">
        <v>0.39</v>
      </c>
      <c r="G243" s="3">
        <v>0.96</v>
      </c>
      <c r="H243" s="3">
        <v>0.08</v>
      </c>
      <c r="I243" s="3">
        <v>7.83</v>
      </c>
      <c r="J243" s="3">
        <v>0.11</v>
      </c>
      <c r="K243" s="3">
        <v>0.25</v>
      </c>
      <c r="L243" s="3">
        <v>0.04</v>
      </c>
      <c r="M243" s="3">
        <v>19.68</v>
      </c>
      <c r="N243" s="3">
        <v>0.12</v>
      </c>
      <c r="O243" s="3">
        <v>0.19</v>
      </c>
      <c r="P243" s="3">
        <v>0.01</v>
      </c>
      <c r="Q243" s="3">
        <v>5.3</v>
      </c>
      <c r="R243" s="3">
        <v>0.09</v>
      </c>
      <c r="S243" s="3">
        <v>5.1100000000000003</v>
      </c>
      <c r="T243" s="3">
        <v>0.06</v>
      </c>
      <c r="U243" s="3">
        <v>2.25</v>
      </c>
      <c r="V243" s="3">
        <v>0.22</v>
      </c>
      <c r="W243" s="3">
        <v>0.67</v>
      </c>
      <c r="X243" s="3">
        <v>7.0000000000000007E-2</v>
      </c>
      <c r="Y243" s="3">
        <v>1.1399999999999999</v>
      </c>
      <c r="Z243" s="3">
        <v>0.09</v>
      </c>
      <c r="AA243" s="3">
        <v>8.76</v>
      </c>
      <c r="AB243" s="3">
        <v>0.13</v>
      </c>
      <c r="AC243" s="3">
        <v>2.54</v>
      </c>
      <c r="AD243" s="3">
        <v>0.04</v>
      </c>
      <c r="AE243" s="3">
        <v>365</v>
      </c>
      <c r="AF243" s="3">
        <v>63</v>
      </c>
      <c r="AG243" s="3">
        <v>923</v>
      </c>
      <c r="AH243" s="3">
        <v>37</v>
      </c>
      <c r="AI243" s="3">
        <v>479</v>
      </c>
      <c r="AJ243" s="3">
        <v>27</v>
      </c>
    </row>
    <row r="244" spans="1:36" x14ac:dyDescent="0.25">
      <c r="A244" s="7">
        <v>3001</v>
      </c>
      <c r="B244" s="3" t="s">
        <v>297</v>
      </c>
      <c r="C244" s="3" t="s">
        <v>534</v>
      </c>
      <c r="D244" s="3"/>
      <c r="E244" s="3">
        <v>44</v>
      </c>
      <c r="F244" s="3">
        <v>0.39</v>
      </c>
      <c r="G244" s="3">
        <v>0.92</v>
      </c>
      <c r="H244" s="3">
        <v>7.0000000000000007E-2</v>
      </c>
      <c r="I244" s="3">
        <v>7.24</v>
      </c>
      <c r="J244" s="3">
        <v>0.13</v>
      </c>
      <c r="K244" s="3">
        <v>0.23</v>
      </c>
      <c r="L244" s="3">
        <v>0.04</v>
      </c>
      <c r="M244" s="3">
        <v>20.03</v>
      </c>
      <c r="N244" s="3">
        <v>0.12</v>
      </c>
      <c r="O244" s="3">
        <v>0.19</v>
      </c>
      <c r="P244" s="3">
        <v>0.01</v>
      </c>
      <c r="Q244" s="3">
        <v>3.93</v>
      </c>
      <c r="R244" s="3">
        <v>0.1</v>
      </c>
      <c r="S244" s="3">
        <v>5.85</v>
      </c>
      <c r="T244" s="3">
        <v>0.06</v>
      </c>
      <c r="U244" s="3">
        <v>2.57</v>
      </c>
      <c r="V244" s="3">
        <v>0.23</v>
      </c>
      <c r="W244" s="3">
        <v>0.73</v>
      </c>
      <c r="X244" s="3">
        <v>7.0000000000000007E-2</v>
      </c>
      <c r="Y244" s="3">
        <v>1.24</v>
      </c>
      <c r="Z244" s="3">
        <v>0.09</v>
      </c>
      <c r="AA244" s="3">
        <v>10.119999999999999</v>
      </c>
      <c r="AB244" s="3">
        <v>0.13</v>
      </c>
      <c r="AC244" s="3">
        <v>2.74</v>
      </c>
      <c r="AD244" s="3">
        <v>0.04</v>
      </c>
      <c r="AE244" s="3">
        <v>452</v>
      </c>
      <c r="AF244" s="3">
        <v>60</v>
      </c>
      <c r="AG244" s="3">
        <v>955</v>
      </c>
      <c r="AH244" s="3">
        <v>34</v>
      </c>
      <c r="AI244" s="3">
        <v>524</v>
      </c>
      <c r="AJ244" s="3">
        <v>26</v>
      </c>
    </row>
    <row r="245" spans="1:36" x14ac:dyDescent="0.25">
      <c r="A245" s="7">
        <v>3006</v>
      </c>
      <c r="B245" s="3" t="s">
        <v>297</v>
      </c>
      <c r="C245" s="3" t="s">
        <v>535</v>
      </c>
      <c r="D245" s="3"/>
      <c r="E245" s="3">
        <v>44.34</v>
      </c>
      <c r="F245" s="3">
        <v>0.36</v>
      </c>
      <c r="G245" s="3">
        <v>0.92</v>
      </c>
      <c r="H245" s="3">
        <v>0.08</v>
      </c>
      <c r="I245" s="3">
        <v>7.36</v>
      </c>
      <c r="J245" s="3">
        <v>0.11</v>
      </c>
      <c r="K245" s="3">
        <v>0.23</v>
      </c>
      <c r="L245" s="3">
        <v>0.04</v>
      </c>
      <c r="M245" s="3">
        <v>20.3</v>
      </c>
      <c r="N245" s="3">
        <v>0.12</v>
      </c>
      <c r="O245" s="3">
        <v>0.19</v>
      </c>
      <c r="P245" s="3">
        <v>0.01</v>
      </c>
      <c r="Q245" s="3">
        <v>3.63</v>
      </c>
      <c r="R245" s="3">
        <v>0.09</v>
      </c>
      <c r="S245" s="3">
        <v>6.02</v>
      </c>
      <c r="T245" s="3">
        <v>0.06</v>
      </c>
      <c r="U245" s="3">
        <v>2.4900000000000002</v>
      </c>
      <c r="V245" s="3">
        <v>0.23</v>
      </c>
      <c r="W245" s="3">
        <v>0.71</v>
      </c>
      <c r="X245" s="3">
        <v>7.0000000000000007E-2</v>
      </c>
      <c r="Y245" s="3">
        <v>1.23</v>
      </c>
      <c r="Z245" s="3">
        <v>0.09</v>
      </c>
      <c r="AA245" s="3">
        <v>9.75</v>
      </c>
      <c r="AB245" s="3">
        <v>0.14000000000000001</v>
      </c>
      <c r="AC245" s="3">
        <v>2.6</v>
      </c>
      <c r="AD245" s="3">
        <v>0.05</v>
      </c>
      <c r="AE245" s="3">
        <v>444</v>
      </c>
      <c r="AF245" s="3">
        <v>68</v>
      </c>
      <c r="AG245" s="3">
        <v>935</v>
      </c>
      <c r="AH245" s="3">
        <v>38</v>
      </c>
      <c r="AI245" s="3">
        <v>540</v>
      </c>
      <c r="AJ245" s="3">
        <v>28</v>
      </c>
    </row>
    <row r="246" spans="1:36" x14ac:dyDescent="0.25">
      <c r="A246" s="7">
        <v>3022</v>
      </c>
      <c r="B246" s="3" t="s">
        <v>4</v>
      </c>
      <c r="C246" s="3" t="s">
        <v>536</v>
      </c>
      <c r="D246" s="3"/>
      <c r="E246" s="3">
        <v>45.28</v>
      </c>
      <c r="F246" s="3">
        <v>0.52</v>
      </c>
      <c r="G246" s="3">
        <v>0.97</v>
      </c>
      <c r="H246" s="3">
        <v>0.08</v>
      </c>
      <c r="I246" s="3">
        <v>8.4</v>
      </c>
      <c r="J246" s="3">
        <v>0.26</v>
      </c>
      <c r="K246" s="3">
        <v>0.25</v>
      </c>
      <c r="L246" s="3">
        <v>0.04</v>
      </c>
      <c r="M246" s="3">
        <v>19.16</v>
      </c>
      <c r="N246" s="3">
        <v>0.16</v>
      </c>
      <c r="O246" s="3">
        <v>0.18</v>
      </c>
      <c r="P246" s="3">
        <v>0.01</v>
      </c>
      <c r="Q246" s="3">
        <v>5.73</v>
      </c>
      <c r="R246" s="3">
        <v>0.16</v>
      </c>
      <c r="S246" s="3">
        <v>5.91</v>
      </c>
      <c r="T246" s="3">
        <v>7.0000000000000007E-2</v>
      </c>
      <c r="U246" s="3">
        <v>2.2200000000000002</v>
      </c>
      <c r="V246" s="3">
        <v>0.26</v>
      </c>
      <c r="W246" s="3">
        <v>0.71</v>
      </c>
      <c r="X246" s="3">
        <v>7.0000000000000007E-2</v>
      </c>
      <c r="Y246" s="3">
        <v>1.2</v>
      </c>
      <c r="Z246" s="3">
        <v>0.11</v>
      </c>
      <c r="AA246" s="3">
        <v>8.1199999999999992</v>
      </c>
      <c r="AB246" s="3">
        <v>0.14000000000000001</v>
      </c>
      <c r="AC246" s="3">
        <v>1.71</v>
      </c>
      <c r="AD246" s="3">
        <v>0.04</v>
      </c>
      <c r="AE246" s="3">
        <v>470</v>
      </c>
      <c r="AF246" s="3">
        <v>61</v>
      </c>
      <c r="AG246" s="3">
        <v>558</v>
      </c>
      <c r="AH246" s="3">
        <v>28</v>
      </c>
      <c r="AI246" s="3">
        <v>286</v>
      </c>
      <c r="AJ246" s="3">
        <v>24</v>
      </c>
    </row>
    <row r="247" spans="1:36" x14ac:dyDescent="0.25">
      <c r="A247" s="7">
        <v>3027</v>
      </c>
      <c r="B247" s="3" t="s">
        <v>4</v>
      </c>
      <c r="C247" s="3" t="s">
        <v>537</v>
      </c>
      <c r="D247" s="3"/>
      <c r="E247" s="3">
        <v>40.770000000000003</v>
      </c>
      <c r="F247" s="3">
        <v>0.28999999999999998</v>
      </c>
      <c r="G247" s="3">
        <v>0.86</v>
      </c>
      <c r="H247" s="3">
        <v>0.06</v>
      </c>
      <c r="I247" s="3">
        <v>7.69</v>
      </c>
      <c r="J247" s="3">
        <v>0.08</v>
      </c>
      <c r="K247" s="3">
        <v>0.25</v>
      </c>
      <c r="L247" s="3">
        <v>0.03</v>
      </c>
      <c r="M247" s="3">
        <v>17.239999999999998</v>
      </c>
      <c r="N247" s="3">
        <v>7.0000000000000007E-2</v>
      </c>
      <c r="O247" s="3">
        <v>0.28000000000000003</v>
      </c>
      <c r="P247" s="3">
        <v>0.01</v>
      </c>
      <c r="Q247" s="3">
        <v>6.97</v>
      </c>
      <c r="R247" s="3">
        <v>7.0000000000000007E-2</v>
      </c>
      <c r="S247" s="3">
        <v>7.51</v>
      </c>
      <c r="T247" s="3">
        <v>0.04</v>
      </c>
      <c r="U247" s="3">
        <v>2.0299999999999998</v>
      </c>
      <c r="V247" s="3">
        <v>0.17</v>
      </c>
      <c r="W247" s="3">
        <v>0.49</v>
      </c>
      <c r="X247" s="3">
        <v>0.06</v>
      </c>
      <c r="Y247" s="3">
        <v>0.95</v>
      </c>
      <c r="Z247" s="3">
        <v>7.0000000000000007E-2</v>
      </c>
      <c r="AA247" s="3">
        <v>13.91</v>
      </c>
      <c r="AB247" s="3">
        <v>0.11</v>
      </c>
      <c r="AC247" s="3">
        <v>0.95</v>
      </c>
      <c r="AD247" s="3">
        <v>0.01</v>
      </c>
      <c r="AE247" s="3">
        <v>379</v>
      </c>
      <c r="AF247" s="3">
        <v>37</v>
      </c>
      <c r="AG247" s="3">
        <v>390</v>
      </c>
      <c r="AH247" s="3">
        <v>11</v>
      </c>
      <c r="AI247" s="3">
        <v>210</v>
      </c>
      <c r="AJ247" s="3">
        <v>15</v>
      </c>
    </row>
    <row r="248" spans="1:36" x14ac:dyDescent="0.25">
      <c r="A248" s="7">
        <v>3064</v>
      </c>
      <c r="B248" s="3" t="s">
        <v>4</v>
      </c>
      <c r="C248" s="3" t="s">
        <v>538</v>
      </c>
      <c r="D248" s="3"/>
      <c r="E248" s="3">
        <v>49.4</v>
      </c>
      <c r="F248" s="3">
        <v>0.43</v>
      </c>
      <c r="G248" s="3">
        <v>0.83</v>
      </c>
      <c r="H248" s="3">
        <v>7.0000000000000007E-2</v>
      </c>
      <c r="I248" s="3">
        <v>9.8800000000000008</v>
      </c>
      <c r="J248" s="3">
        <v>0.12</v>
      </c>
      <c r="K248" s="3">
        <v>0.28999999999999998</v>
      </c>
      <c r="L248" s="3">
        <v>0.03</v>
      </c>
      <c r="M248" s="3">
        <v>16.7</v>
      </c>
      <c r="N248" s="3">
        <v>0.11</v>
      </c>
      <c r="O248" s="3">
        <v>0.23</v>
      </c>
      <c r="P248" s="3">
        <v>0.01</v>
      </c>
      <c r="Q248" s="3">
        <v>8.3000000000000007</v>
      </c>
      <c r="R248" s="3">
        <v>0.1</v>
      </c>
      <c r="S248" s="3">
        <v>5.1100000000000003</v>
      </c>
      <c r="T248" s="3">
        <v>0.04</v>
      </c>
      <c r="U248" s="3">
        <v>2.2799999999999998</v>
      </c>
      <c r="V248" s="3">
        <v>0.19</v>
      </c>
      <c r="W248" s="3">
        <v>0.5</v>
      </c>
      <c r="X248" s="3">
        <v>0.06</v>
      </c>
      <c r="Y248" s="3">
        <v>0.75</v>
      </c>
      <c r="Z248" s="3">
        <v>7.0000000000000007E-2</v>
      </c>
      <c r="AA248" s="3">
        <v>4.57</v>
      </c>
      <c r="AB248" s="3">
        <v>0.06</v>
      </c>
      <c r="AC248" s="3">
        <v>1.04</v>
      </c>
      <c r="AD248" s="3">
        <v>0.02</v>
      </c>
      <c r="AE248" s="3">
        <v>817</v>
      </c>
      <c r="AF248" s="3">
        <v>46</v>
      </c>
      <c r="AG248" s="3">
        <v>131</v>
      </c>
      <c r="AH248" s="3">
        <v>10</v>
      </c>
      <c r="AI248" s="3">
        <v>100</v>
      </c>
      <c r="AJ248" s="3">
        <v>15</v>
      </c>
    </row>
    <row r="249" spans="1:36" x14ac:dyDescent="0.25">
      <c r="A249" s="7">
        <v>3067</v>
      </c>
      <c r="B249" s="3" t="s">
        <v>5</v>
      </c>
      <c r="C249" s="3" t="s">
        <v>539</v>
      </c>
      <c r="D249" s="3"/>
      <c r="E249" s="3">
        <v>49.14</v>
      </c>
      <c r="F249" s="3">
        <v>0.28999999999999998</v>
      </c>
      <c r="G249" s="3">
        <v>0.79</v>
      </c>
      <c r="H249" s="3">
        <v>0.06</v>
      </c>
      <c r="I249" s="3">
        <v>9.91</v>
      </c>
      <c r="J249" s="3">
        <v>0.09</v>
      </c>
      <c r="K249" s="3">
        <v>0.3</v>
      </c>
      <c r="L249" s="3">
        <v>0.03</v>
      </c>
      <c r="M249" s="3">
        <v>16.739999999999998</v>
      </c>
      <c r="N249" s="3">
        <v>7.0000000000000007E-2</v>
      </c>
      <c r="O249" s="3">
        <v>0.22</v>
      </c>
      <c r="P249" s="3">
        <v>0.01</v>
      </c>
      <c r="Q249" s="3">
        <v>8.4700000000000006</v>
      </c>
      <c r="R249" s="3">
        <v>0.08</v>
      </c>
      <c r="S249" s="3">
        <v>5.03</v>
      </c>
      <c r="T249" s="3">
        <v>0.03</v>
      </c>
      <c r="U249" s="3">
        <v>2.44</v>
      </c>
      <c r="V249" s="3">
        <v>0.17</v>
      </c>
      <c r="W249" s="3">
        <v>0.49</v>
      </c>
      <c r="X249" s="3">
        <v>0.06</v>
      </c>
      <c r="Y249" s="3">
        <v>0.74</v>
      </c>
      <c r="Z249" s="3">
        <v>7.0000000000000007E-2</v>
      </c>
      <c r="AA249" s="3">
        <v>4.5</v>
      </c>
      <c r="AB249" s="3">
        <v>0.05</v>
      </c>
      <c r="AC249" s="3">
        <v>1.08</v>
      </c>
      <c r="AD249" s="3">
        <v>0.01</v>
      </c>
      <c r="AE249" s="3">
        <v>881</v>
      </c>
      <c r="AF249" s="3">
        <v>43</v>
      </c>
      <c r="AG249" s="3">
        <v>134</v>
      </c>
      <c r="AH249" s="3">
        <v>8</v>
      </c>
      <c r="AI249" s="3">
        <v>112</v>
      </c>
      <c r="AJ249" s="3">
        <v>14</v>
      </c>
    </row>
    <row r="250" spans="1:36" x14ac:dyDescent="0.25">
      <c r="A250" s="7">
        <v>3073</v>
      </c>
      <c r="B250" s="3" t="s">
        <v>4</v>
      </c>
      <c r="C250" s="3" t="s">
        <v>540</v>
      </c>
      <c r="D250" s="3"/>
      <c r="E250" s="3">
        <v>46.57</v>
      </c>
      <c r="F250" s="3">
        <v>0.4</v>
      </c>
      <c r="G250" s="3">
        <v>0.97</v>
      </c>
      <c r="H250" s="3">
        <v>7.0000000000000007E-2</v>
      </c>
      <c r="I250" s="3">
        <v>9.7200000000000006</v>
      </c>
      <c r="J250" s="3">
        <v>0.11</v>
      </c>
      <c r="K250" s="3">
        <v>0.27</v>
      </c>
      <c r="L250" s="3">
        <v>0.03</v>
      </c>
      <c r="M250" s="3">
        <v>16.77</v>
      </c>
      <c r="N250" s="3">
        <v>0.11</v>
      </c>
      <c r="O250" s="3">
        <v>0.37</v>
      </c>
      <c r="P250" s="3">
        <v>0.01</v>
      </c>
      <c r="Q250" s="3">
        <v>7.19</v>
      </c>
      <c r="R250" s="3">
        <v>0.09</v>
      </c>
      <c r="S250" s="3">
        <v>6.6</v>
      </c>
      <c r="T250" s="3">
        <v>0.05</v>
      </c>
      <c r="U250" s="3">
        <v>2.39</v>
      </c>
      <c r="V250" s="3">
        <v>0.19</v>
      </c>
      <c r="W250" s="3">
        <v>0.43</v>
      </c>
      <c r="X250" s="3">
        <v>0.06</v>
      </c>
      <c r="Y250" s="3">
        <v>1.1299999999999999</v>
      </c>
      <c r="Z250" s="3">
        <v>0.08</v>
      </c>
      <c r="AA250" s="3">
        <v>6.51</v>
      </c>
      <c r="AB250" s="3">
        <v>0.08</v>
      </c>
      <c r="AC250" s="3">
        <v>0.9</v>
      </c>
      <c r="AD250" s="3">
        <v>0.02</v>
      </c>
      <c r="AE250" s="3">
        <v>1004</v>
      </c>
      <c r="AF250" s="3">
        <v>48</v>
      </c>
      <c r="AG250" s="3">
        <v>207</v>
      </c>
      <c r="AH250" s="3">
        <v>11</v>
      </c>
      <c r="AI250" s="3">
        <v>158</v>
      </c>
      <c r="AJ250" s="3">
        <v>16</v>
      </c>
    </row>
    <row r="251" spans="1:36" x14ac:dyDescent="0.25">
      <c r="A251" s="7">
        <v>3076</v>
      </c>
      <c r="B251" s="3" t="s">
        <v>5</v>
      </c>
      <c r="C251" s="3" t="s">
        <v>541</v>
      </c>
      <c r="D251" s="3"/>
      <c r="E251" s="3">
        <v>48.73</v>
      </c>
      <c r="F251" s="3">
        <v>0.41</v>
      </c>
      <c r="G251" s="3">
        <v>0.9</v>
      </c>
      <c r="H251" s="3">
        <v>7.0000000000000007E-2</v>
      </c>
      <c r="I251" s="3">
        <v>10.64</v>
      </c>
      <c r="J251" s="3">
        <v>0.12</v>
      </c>
      <c r="K251" s="3">
        <v>0.26</v>
      </c>
      <c r="L251" s="3">
        <v>0.03</v>
      </c>
      <c r="M251" s="3">
        <v>15.78</v>
      </c>
      <c r="N251" s="3">
        <v>0.1</v>
      </c>
      <c r="O251" s="3">
        <v>0.35</v>
      </c>
      <c r="P251" s="3">
        <v>0.01</v>
      </c>
      <c r="Q251" s="3">
        <v>7.74</v>
      </c>
      <c r="R251" s="3">
        <v>0.09</v>
      </c>
      <c r="S251" s="3">
        <v>6.3</v>
      </c>
      <c r="T251" s="3">
        <v>0.04</v>
      </c>
      <c r="U251" s="3">
        <v>2.56</v>
      </c>
      <c r="V251" s="3">
        <v>0.19</v>
      </c>
      <c r="W251" s="3">
        <v>0.34</v>
      </c>
      <c r="X251" s="3">
        <v>0.06</v>
      </c>
      <c r="Y251" s="3">
        <v>1.41</v>
      </c>
      <c r="Z251" s="3">
        <v>0.08</v>
      </c>
      <c r="AA251" s="3">
        <v>4.05</v>
      </c>
      <c r="AB251" s="3">
        <v>0.06</v>
      </c>
      <c r="AC251" s="3">
        <v>0.78</v>
      </c>
      <c r="AD251" s="3">
        <v>0.01</v>
      </c>
      <c r="AE251" s="3">
        <v>1033</v>
      </c>
      <c r="AF251" s="3">
        <v>47</v>
      </c>
      <c r="AG251" s="3">
        <v>151</v>
      </c>
      <c r="AH251" s="3">
        <v>10</v>
      </c>
      <c r="AI251" s="3">
        <v>155</v>
      </c>
      <c r="AJ251" s="3">
        <v>16</v>
      </c>
    </row>
    <row r="252" spans="1:36" x14ac:dyDescent="0.25">
      <c r="A252" s="7">
        <v>3078</v>
      </c>
      <c r="B252" s="3" t="s">
        <v>5</v>
      </c>
      <c r="C252" s="3" t="s">
        <v>542</v>
      </c>
      <c r="D252" s="3"/>
      <c r="E252" s="3">
        <v>50.33</v>
      </c>
      <c r="F252" s="3">
        <v>0.42</v>
      </c>
      <c r="G252" s="3">
        <v>0.9</v>
      </c>
      <c r="H252" s="3">
        <v>0.06</v>
      </c>
      <c r="I252" s="3">
        <v>10.48</v>
      </c>
      <c r="J252" s="3">
        <v>0.12</v>
      </c>
      <c r="K252" s="3">
        <v>0.24</v>
      </c>
      <c r="L252" s="3">
        <v>0.03</v>
      </c>
      <c r="M252" s="3">
        <v>15.38</v>
      </c>
      <c r="N252" s="3">
        <v>0.09</v>
      </c>
      <c r="O252" s="3">
        <v>0.35</v>
      </c>
      <c r="P252" s="3">
        <v>0.01</v>
      </c>
      <c r="Q252" s="3">
        <v>7.4</v>
      </c>
      <c r="R252" s="3">
        <v>0.09</v>
      </c>
      <c r="S252" s="3">
        <v>6.07</v>
      </c>
      <c r="T252" s="3">
        <v>0.04</v>
      </c>
      <c r="U252" s="3">
        <v>2.48</v>
      </c>
      <c r="V252" s="3">
        <v>0.19</v>
      </c>
      <c r="W252" s="3">
        <v>0.3</v>
      </c>
      <c r="X252" s="3">
        <v>0.06</v>
      </c>
      <c r="Y252" s="3">
        <v>1.39</v>
      </c>
      <c r="Z252" s="3">
        <v>0.08</v>
      </c>
      <c r="AA252" s="3">
        <v>3.78</v>
      </c>
      <c r="AB252" s="3">
        <v>0.05</v>
      </c>
      <c r="AC252" s="3">
        <v>0.73</v>
      </c>
      <c r="AD252" s="3">
        <v>0.01</v>
      </c>
      <c r="AE252" s="3">
        <v>898</v>
      </c>
      <c r="AF252" s="3">
        <v>44</v>
      </c>
      <c r="AG252" s="3">
        <v>153</v>
      </c>
      <c r="AH252" s="3">
        <v>9</v>
      </c>
      <c r="AI252" s="3">
        <v>128</v>
      </c>
      <c r="AJ252" s="3">
        <v>15</v>
      </c>
    </row>
    <row r="253" spans="1:36" x14ac:dyDescent="0.25">
      <c r="A253" s="7">
        <v>3080</v>
      </c>
      <c r="B253" s="3" t="s">
        <v>5</v>
      </c>
      <c r="C253" s="3" t="s">
        <v>543</v>
      </c>
      <c r="D253" s="3"/>
      <c r="E253" s="3">
        <v>47.69</v>
      </c>
      <c r="F253" s="3">
        <v>0.32</v>
      </c>
      <c r="G253" s="3">
        <v>0.93</v>
      </c>
      <c r="H253" s="3">
        <v>7.0000000000000007E-2</v>
      </c>
      <c r="I253" s="3">
        <v>10.36</v>
      </c>
      <c r="J253" s="3">
        <v>0.1</v>
      </c>
      <c r="K253" s="3">
        <v>0.26</v>
      </c>
      <c r="L253" s="3">
        <v>0.03</v>
      </c>
      <c r="M253" s="3">
        <v>16.399999999999999</v>
      </c>
      <c r="N253" s="3">
        <v>7.0000000000000007E-2</v>
      </c>
      <c r="O253" s="3">
        <v>0.45</v>
      </c>
      <c r="P253" s="3">
        <v>0.01</v>
      </c>
      <c r="Q253" s="3">
        <v>7.98</v>
      </c>
      <c r="R253" s="3">
        <v>0.08</v>
      </c>
      <c r="S253" s="3">
        <v>6.13</v>
      </c>
      <c r="T253" s="3">
        <v>0.04</v>
      </c>
      <c r="U253" s="3">
        <v>2.57</v>
      </c>
      <c r="V253" s="3">
        <v>0.18</v>
      </c>
      <c r="W253" s="3">
        <v>0.37</v>
      </c>
      <c r="X253" s="3">
        <v>0.06</v>
      </c>
      <c r="Y253" s="3">
        <v>1.37</v>
      </c>
      <c r="Z253" s="3">
        <v>0.08</v>
      </c>
      <c r="AA253" s="3">
        <v>4.46</v>
      </c>
      <c r="AB253" s="3">
        <v>0.05</v>
      </c>
      <c r="AC253" s="3">
        <v>0.87</v>
      </c>
      <c r="AD253" s="3">
        <v>0.01</v>
      </c>
      <c r="AE253" s="3">
        <v>976</v>
      </c>
      <c r="AF253" s="3">
        <v>49</v>
      </c>
      <c r="AG253" s="3">
        <v>168</v>
      </c>
      <c r="AH253" s="3">
        <v>10</v>
      </c>
      <c r="AI253" s="3">
        <v>112</v>
      </c>
      <c r="AJ253" s="3">
        <v>15</v>
      </c>
    </row>
    <row r="254" spans="1:36" x14ac:dyDescent="0.25">
      <c r="A254" s="7">
        <v>3085</v>
      </c>
      <c r="B254" s="3" t="s">
        <v>6</v>
      </c>
      <c r="C254" s="3" t="s">
        <v>544</v>
      </c>
      <c r="D254" s="3"/>
      <c r="E254" s="3">
        <v>50.59</v>
      </c>
      <c r="F254" s="3">
        <v>0.42</v>
      </c>
      <c r="G254" s="3">
        <v>0.91</v>
      </c>
      <c r="H254" s="3">
        <v>0.06</v>
      </c>
      <c r="I254" s="3">
        <v>10.84</v>
      </c>
      <c r="J254" s="3">
        <v>0.12</v>
      </c>
      <c r="K254" s="3">
        <v>0.24</v>
      </c>
      <c r="L254" s="3">
        <v>0.03</v>
      </c>
      <c r="M254" s="3">
        <v>15.8</v>
      </c>
      <c r="N254" s="3">
        <v>0.1</v>
      </c>
      <c r="O254" s="3">
        <v>0.37</v>
      </c>
      <c r="P254" s="3">
        <v>0.01</v>
      </c>
      <c r="Q254" s="3">
        <v>7.67</v>
      </c>
      <c r="R254" s="3">
        <v>0.09</v>
      </c>
      <c r="S254" s="3">
        <v>6.06</v>
      </c>
      <c r="T254" s="3">
        <v>0.04</v>
      </c>
      <c r="U254" s="3">
        <v>2.75</v>
      </c>
      <c r="V254" s="3">
        <v>0.19</v>
      </c>
      <c r="W254" s="3">
        <v>0.28000000000000003</v>
      </c>
      <c r="X254" s="3">
        <v>0.06</v>
      </c>
      <c r="Y254" s="3">
        <v>1.44</v>
      </c>
      <c r="Z254" s="3">
        <v>0.08</v>
      </c>
      <c r="AA254" s="3">
        <v>2.35</v>
      </c>
      <c r="AB254" s="3">
        <v>0.04</v>
      </c>
      <c r="AC254" s="3">
        <v>0.52</v>
      </c>
      <c r="AD254" s="3">
        <v>0.01</v>
      </c>
      <c r="AE254" s="3">
        <v>951</v>
      </c>
      <c r="AF254" s="3">
        <v>45</v>
      </c>
      <c r="AG254" s="3">
        <v>128</v>
      </c>
      <c r="AH254" s="3">
        <v>9</v>
      </c>
      <c r="AI254" s="3">
        <v>43</v>
      </c>
      <c r="AJ254" s="3">
        <v>14</v>
      </c>
    </row>
    <row r="255" spans="1:36" x14ac:dyDescent="0.25">
      <c r="A255" s="7">
        <v>3087</v>
      </c>
      <c r="B255" s="3" t="s">
        <v>6</v>
      </c>
      <c r="C255" s="3" t="s">
        <v>545</v>
      </c>
      <c r="D255" s="3"/>
      <c r="E255" s="3">
        <v>51.18</v>
      </c>
      <c r="F255" s="3">
        <v>0.41</v>
      </c>
      <c r="G255" s="3">
        <v>0.87</v>
      </c>
      <c r="H255" s="3">
        <v>0.06</v>
      </c>
      <c r="I255" s="3">
        <v>10.6</v>
      </c>
      <c r="J255" s="3">
        <v>0.11</v>
      </c>
      <c r="K255" s="3">
        <v>0.24</v>
      </c>
      <c r="L255" s="3">
        <v>0.03</v>
      </c>
      <c r="M255" s="3">
        <v>15.38</v>
      </c>
      <c r="N255" s="3">
        <v>0.09</v>
      </c>
      <c r="O255" s="3">
        <v>0.36</v>
      </c>
      <c r="P255" s="3">
        <v>0.01</v>
      </c>
      <c r="Q255" s="3">
        <v>7.91</v>
      </c>
      <c r="R255" s="3">
        <v>0.09</v>
      </c>
      <c r="S255" s="3">
        <v>5.98</v>
      </c>
      <c r="T255" s="3">
        <v>0.04</v>
      </c>
      <c r="U255" s="3">
        <v>2.5499999999999998</v>
      </c>
      <c r="V255" s="3">
        <v>0.18</v>
      </c>
      <c r="W255" s="3">
        <v>0.28000000000000003</v>
      </c>
      <c r="X255" s="3">
        <v>0.05</v>
      </c>
      <c r="Y255" s="3">
        <v>1.5</v>
      </c>
      <c r="Z255" s="3">
        <v>7.0000000000000007E-2</v>
      </c>
      <c r="AA255" s="3">
        <v>2.4700000000000002</v>
      </c>
      <c r="AB255" s="3">
        <v>0.03</v>
      </c>
      <c r="AC255" s="3">
        <v>0.53</v>
      </c>
      <c r="AD255" s="3">
        <v>0.01</v>
      </c>
      <c r="AE255" s="3">
        <v>922</v>
      </c>
      <c r="AF255" s="3">
        <v>41</v>
      </c>
      <c r="AG255" s="3">
        <v>134</v>
      </c>
      <c r="AH255" s="3">
        <v>7</v>
      </c>
      <c r="AI255" s="3">
        <v>48</v>
      </c>
      <c r="AJ255" s="3">
        <v>13</v>
      </c>
    </row>
    <row r="256" spans="1:36" x14ac:dyDescent="0.25">
      <c r="A256" s="7">
        <v>3094</v>
      </c>
      <c r="B256" s="3" t="s">
        <v>4</v>
      </c>
      <c r="C256" s="3" t="s">
        <v>546</v>
      </c>
      <c r="D256" s="3"/>
      <c r="E256" s="3">
        <v>46.38</v>
      </c>
      <c r="F256" s="3">
        <v>0.28000000000000003</v>
      </c>
      <c r="G256" s="3">
        <v>0.93</v>
      </c>
      <c r="H256" s="3">
        <v>0.06</v>
      </c>
      <c r="I256" s="3">
        <v>9.4600000000000009</v>
      </c>
      <c r="J256" s="3">
        <v>0.09</v>
      </c>
      <c r="K256" s="3">
        <v>0.24</v>
      </c>
      <c r="L256" s="3">
        <v>0.03</v>
      </c>
      <c r="M256" s="3">
        <v>15.8</v>
      </c>
      <c r="N256" s="3">
        <v>0.06</v>
      </c>
      <c r="O256" s="3">
        <v>0.61</v>
      </c>
      <c r="P256" s="3">
        <v>0.01</v>
      </c>
      <c r="Q256" s="3">
        <v>7.58</v>
      </c>
      <c r="R256" s="3">
        <v>0.08</v>
      </c>
      <c r="S256" s="3">
        <v>6.79</v>
      </c>
      <c r="T256" s="3">
        <v>0.04</v>
      </c>
      <c r="U256" s="3">
        <v>2.46</v>
      </c>
      <c r="V256" s="3">
        <v>0.17</v>
      </c>
      <c r="W256" s="3">
        <v>0.35</v>
      </c>
      <c r="X256" s="3">
        <v>0.06</v>
      </c>
      <c r="Y256" s="3">
        <v>1.25</v>
      </c>
      <c r="Z256" s="3">
        <v>7.0000000000000007E-2</v>
      </c>
      <c r="AA256" s="3">
        <v>6.64</v>
      </c>
      <c r="AB256" s="3">
        <v>7.0000000000000007E-2</v>
      </c>
      <c r="AC256" s="3">
        <v>1.36</v>
      </c>
      <c r="AD256" s="3">
        <v>0.02</v>
      </c>
      <c r="AE256" s="3">
        <v>813</v>
      </c>
      <c r="AF256" s="3">
        <v>45</v>
      </c>
      <c r="AG256" s="3">
        <v>261</v>
      </c>
      <c r="AH256" s="3">
        <v>11</v>
      </c>
      <c r="AI256" s="3">
        <v>172</v>
      </c>
      <c r="AJ256" s="3">
        <v>16</v>
      </c>
    </row>
    <row r="257" spans="1:36" x14ac:dyDescent="0.25">
      <c r="A257" s="7">
        <v>3096</v>
      </c>
      <c r="B257" s="3" t="s">
        <v>4</v>
      </c>
      <c r="C257" s="3" t="s">
        <v>547</v>
      </c>
      <c r="D257" s="3"/>
      <c r="E257" s="3">
        <v>45.09</v>
      </c>
      <c r="F257" s="3">
        <v>0.27</v>
      </c>
      <c r="G257" s="3">
        <v>0.92</v>
      </c>
      <c r="H257" s="3">
        <v>0.06</v>
      </c>
      <c r="I257" s="3">
        <v>8.98</v>
      </c>
      <c r="J257" s="3">
        <v>0.08</v>
      </c>
      <c r="K257" s="3">
        <v>0.25</v>
      </c>
      <c r="L257" s="3">
        <v>0.03</v>
      </c>
      <c r="M257" s="3">
        <v>15.99</v>
      </c>
      <c r="N257" s="3">
        <v>0.06</v>
      </c>
      <c r="O257" s="3">
        <v>0.53</v>
      </c>
      <c r="P257" s="3">
        <v>0.01</v>
      </c>
      <c r="Q257" s="3">
        <v>7.6</v>
      </c>
      <c r="R257" s="3">
        <v>7.0000000000000007E-2</v>
      </c>
      <c r="S257" s="3">
        <v>7.15</v>
      </c>
      <c r="T257" s="3">
        <v>0.04</v>
      </c>
      <c r="U257" s="3">
        <v>2.42</v>
      </c>
      <c r="V257" s="3">
        <v>0.16</v>
      </c>
      <c r="W257" s="3">
        <v>0.37</v>
      </c>
      <c r="X257" s="3">
        <v>0.06</v>
      </c>
      <c r="Y257" s="3">
        <v>1.28</v>
      </c>
      <c r="Z257" s="3">
        <v>7.0000000000000007E-2</v>
      </c>
      <c r="AA257" s="3">
        <v>7.62</v>
      </c>
      <c r="AB257" s="3">
        <v>7.0000000000000007E-2</v>
      </c>
      <c r="AC257" s="3">
        <v>1.63</v>
      </c>
      <c r="AD257" s="3">
        <v>0.02</v>
      </c>
      <c r="AE257" s="3">
        <v>815</v>
      </c>
      <c r="AF257" s="3">
        <v>41</v>
      </c>
      <c r="AG257" s="3">
        <v>331</v>
      </c>
      <c r="AH257" s="3">
        <v>10</v>
      </c>
      <c r="AI257" s="3">
        <v>154</v>
      </c>
      <c r="AJ257" s="3">
        <v>14</v>
      </c>
    </row>
    <row r="258" spans="1:36" x14ac:dyDescent="0.25">
      <c r="A258" s="7">
        <v>3138</v>
      </c>
      <c r="B258" s="3" t="s">
        <v>4</v>
      </c>
      <c r="C258" s="3" t="s">
        <v>548</v>
      </c>
      <c r="D258" s="3"/>
      <c r="E258" s="3">
        <v>43.47</v>
      </c>
      <c r="F258" s="3">
        <v>0.35</v>
      </c>
      <c r="G258" s="3">
        <v>0.88</v>
      </c>
      <c r="H258" s="3">
        <v>0.08</v>
      </c>
      <c r="I258" s="3">
        <v>8.33</v>
      </c>
      <c r="J258" s="3">
        <v>0.12</v>
      </c>
      <c r="K258" s="3">
        <v>0.23</v>
      </c>
      <c r="L258" s="3">
        <v>0.04</v>
      </c>
      <c r="M258" s="3">
        <v>16.649999999999999</v>
      </c>
      <c r="N258" s="3">
        <v>0.1</v>
      </c>
      <c r="O258" s="3">
        <v>0.36</v>
      </c>
      <c r="P258" s="3">
        <v>0.02</v>
      </c>
      <c r="Q258" s="3">
        <v>7.59</v>
      </c>
      <c r="R258" s="3">
        <v>0.11</v>
      </c>
      <c r="S258" s="3">
        <v>7.58</v>
      </c>
      <c r="T258" s="3">
        <v>0.08</v>
      </c>
      <c r="U258" s="3">
        <v>2.2400000000000002</v>
      </c>
      <c r="V258" s="3">
        <v>0.21</v>
      </c>
      <c r="W258" s="3">
        <v>0.42</v>
      </c>
      <c r="X258" s="3">
        <v>0.06</v>
      </c>
      <c r="Y258" s="3">
        <v>1.24</v>
      </c>
      <c r="Z258" s="3">
        <v>0.09</v>
      </c>
      <c r="AA258" s="3">
        <v>9.06</v>
      </c>
      <c r="AB258" s="3">
        <v>0.13</v>
      </c>
      <c r="AC258" s="3">
        <v>1.76</v>
      </c>
      <c r="AD258" s="3">
        <v>0.04</v>
      </c>
      <c r="AE258" s="3">
        <v>762</v>
      </c>
      <c r="AF258" s="3">
        <v>72</v>
      </c>
      <c r="AG258" s="3">
        <v>445</v>
      </c>
      <c r="AH258" s="3">
        <v>29</v>
      </c>
      <c r="AI258" s="3">
        <v>318</v>
      </c>
      <c r="AJ258" s="3">
        <v>25</v>
      </c>
    </row>
    <row r="259" spans="1:36" x14ac:dyDescent="0.25">
      <c r="A259" s="7">
        <v>3144</v>
      </c>
      <c r="B259" s="3" t="s">
        <v>5</v>
      </c>
      <c r="C259" s="3" t="s">
        <v>549</v>
      </c>
      <c r="D259" s="3"/>
      <c r="E259" s="3">
        <v>43.34</v>
      </c>
      <c r="F259" s="3">
        <v>0.36</v>
      </c>
      <c r="G259" s="3">
        <v>0.92</v>
      </c>
      <c r="H259" s="3">
        <v>7.0000000000000007E-2</v>
      </c>
      <c r="I259" s="3">
        <v>8.23</v>
      </c>
      <c r="J259" s="3">
        <v>0.1</v>
      </c>
      <c r="K259" s="3">
        <v>0.22</v>
      </c>
      <c r="L259" s="3">
        <v>0.03</v>
      </c>
      <c r="M259" s="3">
        <v>16.38</v>
      </c>
      <c r="N259" s="3">
        <v>0.09</v>
      </c>
      <c r="O259" s="3">
        <v>0.38</v>
      </c>
      <c r="P259" s="3">
        <v>0.01</v>
      </c>
      <c r="Q259" s="3">
        <v>7.79</v>
      </c>
      <c r="R259" s="3">
        <v>0.1</v>
      </c>
      <c r="S259" s="3">
        <v>7.64</v>
      </c>
      <c r="T259" s="3">
        <v>0.06</v>
      </c>
      <c r="U259" s="3">
        <v>2.3199999999999998</v>
      </c>
      <c r="V259" s="3">
        <v>0.21</v>
      </c>
      <c r="W259" s="3">
        <v>0.4</v>
      </c>
      <c r="X259" s="3">
        <v>0.06</v>
      </c>
      <c r="Y259" s="3">
        <v>1.29</v>
      </c>
      <c r="Z259" s="3">
        <v>0.08</v>
      </c>
      <c r="AA259" s="3">
        <v>8.86</v>
      </c>
      <c r="AB259" s="3">
        <v>0.1</v>
      </c>
      <c r="AC259" s="3">
        <v>1.98</v>
      </c>
      <c r="AD259" s="3">
        <v>0.03</v>
      </c>
      <c r="AE259" s="3">
        <v>888</v>
      </c>
      <c r="AF259" s="3">
        <v>50</v>
      </c>
      <c r="AG259" s="3">
        <v>453</v>
      </c>
      <c r="AH259" s="3">
        <v>16</v>
      </c>
      <c r="AI259" s="3">
        <v>348</v>
      </c>
      <c r="AJ259" s="3">
        <v>19</v>
      </c>
    </row>
    <row r="260" spans="1:36" x14ac:dyDescent="0.25">
      <c r="A260" s="7">
        <v>3146</v>
      </c>
      <c r="B260" s="3" t="s">
        <v>6</v>
      </c>
      <c r="C260" s="3" t="s">
        <v>550</v>
      </c>
      <c r="D260" s="3"/>
      <c r="E260" s="3">
        <v>44.68</v>
      </c>
      <c r="F260" s="3">
        <v>0.31</v>
      </c>
      <c r="G260" s="3">
        <v>0.86</v>
      </c>
      <c r="H260" s="3">
        <v>0.06</v>
      </c>
      <c r="I260" s="3">
        <v>9.02</v>
      </c>
      <c r="J260" s="3">
        <v>0.1</v>
      </c>
      <c r="K260" s="3">
        <v>0.24</v>
      </c>
      <c r="L260" s="3">
        <v>0.03</v>
      </c>
      <c r="M260" s="3">
        <v>16.28</v>
      </c>
      <c r="N260" s="3">
        <v>7.0000000000000007E-2</v>
      </c>
      <c r="O260" s="3">
        <v>0.39</v>
      </c>
      <c r="P260" s="3">
        <v>0.01</v>
      </c>
      <c r="Q260" s="3">
        <v>8.64</v>
      </c>
      <c r="R260" s="3">
        <v>0.12</v>
      </c>
      <c r="S260" s="3">
        <v>7.05</v>
      </c>
      <c r="T260" s="3">
        <v>0.04</v>
      </c>
      <c r="U260" s="3">
        <v>2.83</v>
      </c>
      <c r="V260" s="3">
        <v>0.26</v>
      </c>
      <c r="W260" s="3">
        <v>0.31</v>
      </c>
      <c r="X260" s="3">
        <v>0.06</v>
      </c>
      <c r="Y260" s="3">
        <v>1.33</v>
      </c>
      <c r="Z260" s="3">
        <v>7.0000000000000007E-2</v>
      </c>
      <c r="AA260" s="3">
        <v>6.42</v>
      </c>
      <c r="AB260" s="3">
        <v>0.06</v>
      </c>
      <c r="AC260" s="3">
        <v>1.75</v>
      </c>
      <c r="AD260" s="3">
        <v>0.02</v>
      </c>
      <c r="AE260" s="3">
        <v>914</v>
      </c>
      <c r="AF260" s="3">
        <v>42</v>
      </c>
      <c r="AG260" s="3">
        <v>373</v>
      </c>
      <c r="AH260" s="3">
        <v>11</v>
      </c>
      <c r="AI260" s="3">
        <v>332</v>
      </c>
      <c r="AJ260" s="3">
        <v>16</v>
      </c>
    </row>
    <row r="261" spans="1:36" x14ac:dyDescent="0.25">
      <c r="A261" s="7">
        <v>3158</v>
      </c>
      <c r="B261" s="3" t="s">
        <v>4</v>
      </c>
      <c r="C261" s="3" t="s">
        <v>551</v>
      </c>
      <c r="D261" s="3"/>
      <c r="E261" s="3">
        <v>46.98</v>
      </c>
      <c r="F261" s="3">
        <v>0.42</v>
      </c>
      <c r="G261" s="3">
        <v>0.9</v>
      </c>
      <c r="H261" s="3">
        <v>7.0000000000000007E-2</v>
      </c>
      <c r="I261" s="3">
        <v>11.26</v>
      </c>
      <c r="J261" s="3">
        <v>0.13</v>
      </c>
      <c r="K261" s="3">
        <v>0.28000000000000003</v>
      </c>
      <c r="L261" s="3">
        <v>0.03</v>
      </c>
      <c r="M261" s="3">
        <v>13.59</v>
      </c>
      <c r="N261" s="3">
        <v>0.09</v>
      </c>
      <c r="O261" s="3">
        <v>0.39</v>
      </c>
      <c r="P261" s="3">
        <v>0.01</v>
      </c>
      <c r="Q261" s="3">
        <v>8.2100000000000009</v>
      </c>
      <c r="R261" s="3">
        <v>0.1</v>
      </c>
      <c r="S261" s="3">
        <v>6.99</v>
      </c>
      <c r="T261" s="3">
        <v>0.05</v>
      </c>
      <c r="U261" s="3">
        <v>2.2400000000000002</v>
      </c>
      <c r="V261" s="3">
        <v>0.2</v>
      </c>
      <c r="W261" s="3">
        <v>0.27</v>
      </c>
      <c r="X261" s="3">
        <v>0.06</v>
      </c>
      <c r="Y261" s="3">
        <v>0.99</v>
      </c>
      <c r="Z261" s="3">
        <v>0.08</v>
      </c>
      <c r="AA261" s="3">
        <v>6.74</v>
      </c>
      <c r="AB261" s="3">
        <v>0.08</v>
      </c>
      <c r="AC261" s="3">
        <v>1.04</v>
      </c>
      <c r="AD261" s="3">
        <v>0.02</v>
      </c>
      <c r="AE261" s="3">
        <v>684</v>
      </c>
      <c r="AF261" s="3">
        <v>46</v>
      </c>
      <c r="AG261" s="3">
        <v>212</v>
      </c>
      <c r="AH261" s="3">
        <v>12</v>
      </c>
      <c r="AI261" s="3">
        <v>62</v>
      </c>
      <c r="AJ261" s="3">
        <v>15</v>
      </c>
    </row>
    <row r="262" spans="1:36" x14ac:dyDescent="0.25">
      <c r="A262" s="7">
        <v>3162</v>
      </c>
      <c r="B262" s="3" t="s">
        <v>4</v>
      </c>
      <c r="C262" s="3" t="s">
        <v>552</v>
      </c>
      <c r="D262" s="3"/>
      <c r="E262" s="3">
        <v>46.47</v>
      </c>
      <c r="F262" s="3">
        <v>0.42</v>
      </c>
      <c r="G262" s="3">
        <v>0.86</v>
      </c>
      <c r="H262" s="3">
        <v>7.0000000000000007E-2</v>
      </c>
      <c r="I262" s="3">
        <v>10.83</v>
      </c>
      <c r="J262" s="3">
        <v>0.13</v>
      </c>
      <c r="K262" s="3">
        <v>0.27</v>
      </c>
      <c r="L262" s="3">
        <v>0.03</v>
      </c>
      <c r="M262" s="3">
        <v>13.6</v>
      </c>
      <c r="N262" s="3">
        <v>0.1</v>
      </c>
      <c r="O262" s="3">
        <v>0.42</v>
      </c>
      <c r="P262" s="3">
        <v>0.01</v>
      </c>
      <c r="Q262" s="3">
        <v>8.57</v>
      </c>
      <c r="R262" s="3">
        <v>0.11</v>
      </c>
      <c r="S262" s="3">
        <v>7</v>
      </c>
      <c r="T262" s="3">
        <v>0.05</v>
      </c>
      <c r="U262" s="3">
        <v>2.1800000000000002</v>
      </c>
      <c r="V262" s="3">
        <v>0.21</v>
      </c>
      <c r="W262" s="3">
        <v>0.28999999999999998</v>
      </c>
      <c r="X262" s="3">
        <v>0.06</v>
      </c>
      <c r="Y262" s="3">
        <v>1.02</v>
      </c>
      <c r="Z262" s="3">
        <v>0.08</v>
      </c>
      <c r="AA262" s="3">
        <v>7.27</v>
      </c>
      <c r="AB262" s="3">
        <v>0.09</v>
      </c>
      <c r="AC262" s="3">
        <v>1.07</v>
      </c>
      <c r="AD262" s="3">
        <v>0.02</v>
      </c>
      <c r="AE262" s="3">
        <v>808</v>
      </c>
      <c r="AF262" s="3">
        <v>50</v>
      </c>
      <c r="AG262" s="3">
        <v>245</v>
      </c>
      <c r="AH262" s="3">
        <v>13</v>
      </c>
      <c r="AI262" s="3">
        <v>48</v>
      </c>
      <c r="AJ262" s="3">
        <v>15</v>
      </c>
    </row>
    <row r="263" spans="1:36" x14ac:dyDescent="0.25">
      <c r="A263" s="7">
        <v>3168</v>
      </c>
      <c r="B263" s="3" t="s">
        <v>4</v>
      </c>
      <c r="C263" s="3" t="s">
        <v>553</v>
      </c>
      <c r="D263" s="3"/>
      <c r="E263" s="3">
        <v>45</v>
      </c>
      <c r="F263" s="3">
        <v>0.43</v>
      </c>
      <c r="G263" s="3">
        <v>0.83</v>
      </c>
      <c r="H263" s="3">
        <v>7.0000000000000007E-2</v>
      </c>
      <c r="I263" s="3">
        <v>10.27</v>
      </c>
      <c r="J263" s="3">
        <v>0.14000000000000001</v>
      </c>
      <c r="K263" s="3">
        <v>0.26</v>
      </c>
      <c r="L263" s="3">
        <v>0.03</v>
      </c>
      <c r="M263" s="3">
        <v>14.24</v>
      </c>
      <c r="N263" s="3">
        <v>0.11</v>
      </c>
      <c r="O263" s="3">
        <v>0.4</v>
      </c>
      <c r="P263" s="3">
        <v>0.01</v>
      </c>
      <c r="Q263" s="3">
        <v>8.09</v>
      </c>
      <c r="R263" s="3">
        <v>0.12</v>
      </c>
      <c r="S263" s="3">
        <v>7.16</v>
      </c>
      <c r="T263" s="3">
        <v>0.06</v>
      </c>
      <c r="U263" s="3">
        <v>2.25</v>
      </c>
      <c r="V263" s="3">
        <v>0.22</v>
      </c>
      <c r="W263" s="3">
        <v>0.31</v>
      </c>
      <c r="X263" s="3">
        <v>0.06</v>
      </c>
      <c r="Y263" s="3">
        <v>1.04</v>
      </c>
      <c r="Z263" s="3">
        <v>0.08</v>
      </c>
      <c r="AA263" s="3">
        <v>8.7100000000000009</v>
      </c>
      <c r="AB263" s="3">
        <v>0.11</v>
      </c>
      <c r="AC263" s="3">
        <v>1.27</v>
      </c>
      <c r="AD263" s="3">
        <v>0.02</v>
      </c>
      <c r="AE263" s="3">
        <v>868</v>
      </c>
      <c r="AF263" s="3">
        <v>54</v>
      </c>
      <c r="AG263" s="3">
        <v>216</v>
      </c>
      <c r="AH263" s="3">
        <v>15</v>
      </c>
      <c r="AI263" s="3">
        <v>312</v>
      </c>
      <c r="AJ263" s="3">
        <v>20</v>
      </c>
    </row>
    <row r="264" spans="1:36" x14ac:dyDescent="0.25">
      <c r="A264" s="7">
        <v>3171</v>
      </c>
      <c r="B264" s="3" t="s">
        <v>4</v>
      </c>
      <c r="C264" s="3" t="s">
        <v>554</v>
      </c>
      <c r="D264" s="3"/>
      <c r="E264" s="3">
        <v>45.02</v>
      </c>
      <c r="F264" s="3">
        <v>0.41</v>
      </c>
      <c r="G264" s="3">
        <v>0.83</v>
      </c>
      <c r="H264" s="3">
        <v>7.0000000000000007E-2</v>
      </c>
      <c r="I264" s="3">
        <v>10.25</v>
      </c>
      <c r="J264" s="3">
        <v>0.13</v>
      </c>
      <c r="K264" s="3">
        <v>0.23</v>
      </c>
      <c r="L264" s="3">
        <v>0.03</v>
      </c>
      <c r="M264" s="3">
        <v>14.2</v>
      </c>
      <c r="N264" s="3">
        <v>0.1</v>
      </c>
      <c r="O264" s="3">
        <v>0.38</v>
      </c>
      <c r="P264" s="3">
        <v>0.01</v>
      </c>
      <c r="Q264" s="3">
        <v>8.18</v>
      </c>
      <c r="R264" s="3">
        <v>0.11</v>
      </c>
      <c r="S264" s="3">
        <v>7.17</v>
      </c>
      <c r="T264" s="3">
        <v>0.06</v>
      </c>
      <c r="U264" s="3">
        <v>2.2599999999999998</v>
      </c>
      <c r="V264" s="3">
        <v>0.21</v>
      </c>
      <c r="W264" s="3">
        <v>0.3</v>
      </c>
      <c r="X264" s="3">
        <v>0.06</v>
      </c>
      <c r="Y264" s="3">
        <v>1.05</v>
      </c>
      <c r="Z264" s="3">
        <v>0.08</v>
      </c>
      <c r="AA264" s="3">
        <v>8.7200000000000006</v>
      </c>
      <c r="AB264" s="3">
        <v>0.11</v>
      </c>
      <c r="AC264" s="3">
        <v>1.26</v>
      </c>
      <c r="AD264" s="3">
        <v>0.02</v>
      </c>
      <c r="AE264" s="3">
        <v>844</v>
      </c>
      <c r="AF264" s="3">
        <v>51</v>
      </c>
      <c r="AG264" s="3">
        <v>211</v>
      </c>
      <c r="AH264" s="3">
        <v>13</v>
      </c>
      <c r="AI264" s="3">
        <v>326</v>
      </c>
      <c r="AJ264" s="3">
        <v>19</v>
      </c>
    </row>
    <row r="265" spans="1:36" x14ac:dyDescent="0.25">
      <c r="A265" s="7">
        <v>3174</v>
      </c>
      <c r="B265" s="3" t="s">
        <v>4</v>
      </c>
      <c r="C265" s="3" t="s">
        <v>555</v>
      </c>
      <c r="D265" s="3"/>
      <c r="E265" s="3">
        <v>44.4</v>
      </c>
      <c r="F265" s="3">
        <v>0.28999999999999998</v>
      </c>
      <c r="G265" s="3">
        <v>1</v>
      </c>
      <c r="H265" s="3">
        <v>7.0000000000000007E-2</v>
      </c>
      <c r="I265" s="3">
        <v>8.6300000000000008</v>
      </c>
      <c r="J265" s="3">
        <v>0.09</v>
      </c>
      <c r="K265" s="3">
        <v>0.26</v>
      </c>
      <c r="L265" s="3">
        <v>0.03</v>
      </c>
      <c r="M265" s="3">
        <v>16.07</v>
      </c>
      <c r="N265" s="3">
        <v>7.0000000000000007E-2</v>
      </c>
      <c r="O265" s="3">
        <v>0.4</v>
      </c>
      <c r="P265" s="3">
        <v>0.01</v>
      </c>
      <c r="Q265" s="3">
        <v>7.23</v>
      </c>
      <c r="R265" s="3">
        <v>0.08</v>
      </c>
      <c r="S265" s="3">
        <v>7.33</v>
      </c>
      <c r="T265" s="3">
        <v>0.05</v>
      </c>
      <c r="U265" s="3">
        <v>2.14</v>
      </c>
      <c r="V265" s="3">
        <v>0.18</v>
      </c>
      <c r="W265" s="3">
        <v>0.51</v>
      </c>
      <c r="X265" s="3">
        <v>0.06</v>
      </c>
      <c r="Y265" s="3">
        <v>1.1200000000000001</v>
      </c>
      <c r="Z265" s="3">
        <v>0.08</v>
      </c>
      <c r="AA265" s="3">
        <v>9.26</v>
      </c>
      <c r="AB265" s="3">
        <v>0.1</v>
      </c>
      <c r="AC265" s="3">
        <v>1.47</v>
      </c>
      <c r="AD265" s="3">
        <v>0.02</v>
      </c>
      <c r="AE265" s="3">
        <v>741</v>
      </c>
      <c r="AF265" s="3">
        <v>50</v>
      </c>
      <c r="AG265" s="3">
        <v>577</v>
      </c>
      <c r="AH265" s="3">
        <v>18</v>
      </c>
      <c r="AI265" s="3">
        <v>93</v>
      </c>
      <c r="AJ265" s="3">
        <v>16</v>
      </c>
    </row>
    <row r="266" spans="1:36" x14ac:dyDescent="0.25">
      <c r="A266" s="7">
        <v>3177</v>
      </c>
      <c r="B266" s="3" t="s">
        <v>4</v>
      </c>
      <c r="C266" s="3" t="s">
        <v>556</v>
      </c>
      <c r="D266" s="3"/>
      <c r="E266" s="3">
        <v>44.41</v>
      </c>
      <c r="F266" s="3">
        <v>0.47</v>
      </c>
      <c r="G266" s="3">
        <v>1.01</v>
      </c>
      <c r="H266" s="3">
        <v>0.09</v>
      </c>
      <c r="I266" s="3">
        <v>8.6</v>
      </c>
      <c r="J266" s="3">
        <v>0.14000000000000001</v>
      </c>
      <c r="K266" s="3">
        <v>0.28999999999999998</v>
      </c>
      <c r="L266" s="3">
        <v>0.04</v>
      </c>
      <c r="M266" s="3">
        <v>16.23</v>
      </c>
      <c r="N266" s="3">
        <v>0.14000000000000001</v>
      </c>
      <c r="O266" s="3">
        <v>0.38</v>
      </c>
      <c r="P266" s="3">
        <v>0.02</v>
      </c>
      <c r="Q266" s="3">
        <v>7.28</v>
      </c>
      <c r="R266" s="3">
        <v>0.13</v>
      </c>
      <c r="S266" s="3">
        <v>7.27</v>
      </c>
      <c r="T266" s="3">
        <v>0.08</v>
      </c>
      <c r="U266" s="3">
        <v>1.93</v>
      </c>
      <c r="V266" s="3">
        <v>0.25</v>
      </c>
      <c r="W266" s="3">
        <v>0.5</v>
      </c>
      <c r="X266" s="3">
        <v>7.0000000000000007E-2</v>
      </c>
      <c r="Y266" s="3">
        <v>1.1399999999999999</v>
      </c>
      <c r="Z266" s="3">
        <v>0.09</v>
      </c>
      <c r="AA266" s="3">
        <v>9.27</v>
      </c>
      <c r="AB266" s="3">
        <v>0.15</v>
      </c>
      <c r="AC266" s="3">
        <v>1.52</v>
      </c>
      <c r="AD266" s="3">
        <v>0.03</v>
      </c>
      <c r="AE266" s="3">
        <v>818</v>
      </c>
      <c r="AF266" s="3">
        <v>71</v>
      </c>
      <c r="AG266" s="3">
        <v>600</v>
      </c>
      <c r="AH266" s="3">
        <v>31</v>
      </c>
      <c r="AI266" s="3">
        <v>80</v>
      </c>
      <c r="AJ266" s="3">
        <v>22</v>
      </c>
    </row>
    <row r="267" spans="1:36" x14ac:dyDescent="0.25">
      <c r="A267" s="7">
        <v>3179</v>
      </c>
      <c r="B267" s="3" t="s">
        <v>4</v>
      </c>
      <c r="C267" s="3" t="s">
        <v>557</v>
      </c>
      <c r="D267" s="3"/>
      <c r="E267" s="3">
        <v>46.08</v>
      </c>
      <c r="F267" s="3">
        <v>0.45</v>
      </c>
      <c r="G267" s="3">
        <v>0.85</v>
      </c>
      <c r="H267" s="3">
        <v>7.0000000000000007E-2</v>
      </c>
      <c r="I267" s="3">
        <v>10.34</v>
      </c>
      <c r="J267" s="3">
        <v>0.15</v>
      </c>
      <c r="K267" s="3">
        <v>0.26</v>
      </c>
      <c r="L267" s="3">
        <v>0.03</v>
      </c>
      <c r="M267" s="3">
        <v>15.23</v>
      </c>
      <c r="N267" s="3">
        <v>0.12</v>
      </c>
      <c r="O267" s="3">
        <v>0.41</v>
      </c>
      <c r="P267" s="3">
        <v>0.01</v>
      </c>
      <c r="Q267" s="3">
        <v>8.51</v>
      </c>
      <c r="R267" s="3">
        <v>0.13</v>
      </c>
      <c r="S267" s="3">
        <v>6.15</v>
      </c>
      <c r="T267" s="3">
        <v>0.06</v>
      </c>
      <c r="U267" s="3">
        <v>2.4300000000000002</v>
      </c>
      <c r="V267" s="3">
        <v>0.24</v>
      </c>
      <c r="W267" s="3">
        <v>0.33</v>
      </c>
      <c r="X267" s="3">
        <v>0.06</v>
      </c>
      <c r="Y267" s="3">
        <v>1.1299999999999999</v>
      </c>
      <c r="Z267" s="3">
        <v>0.09</v>
      </c>
      <c r="AA267" s="3">
        <v>6.86</v>
      </c>
      <c r="AB267" s="3">
        <v>0.1</v>
      </c>
      <c r="AC267" s="3">
        <v>1.27</v>
      </c>
      <c r="AD267" s="3">
        <v>0.03</v>
      </c>
      <c r="AE267" s="3">
        <v>916</v>
      </c>
      <c r="AF267" s="3">
        <v>59</v>
      </c>
      <c r="AG267" s="3">
        <v>188</v>
      </c>
      <c r="AH267" s="3">
        <v>16</v>
      </c>
      <c r="AI267" s="3">
        <v>229</v>
      </c>
      <c r="AJ267" s="3">
        <v>20</v>
      </c>
    </row>
    <row r="268" spans="1:36" x14ac:dyDescent="0.25">
      <c r="A268" s="7">
        <v>3190</v>
      </c>
      <c r="B268" s="3" t="s">
        <v>4</v>
      </c>
      <c r="C268" s="3" t="s">
        <v>558</v>
      </c>
      <c r="D268" s="3"/>
      <c r="E268" s="3">
        <v>42.64</v>
      </c>
      <c r="F268" s="3">
        <v>0.39</v>
      </c>
      <c r="G268" s="3">
        <v>0.78</v>
      </c>
      <c r="H268" s="3">
        <v>7.0000000000000007E-2</v>
      </c>
      <c r="I268" s="3">
        <v>8.69</v>
      </c>
      <c r="J268" s="3">
        <v>0.11</v>
      </c>
      <c r="K268" s="3">
        <v>0.25</v>
      </c>
      <c r="L268" s="3">
        <v>0.03</v>
      </c>
      <c r="M268" s="3">
        <v>13.98</v>
      </c>
      <c r="N268" s="3">
        <v>0.1</v>
      </c>
      <c r="O268" s="3">
        <v>0.54</v>
      </c>
      <c r="P268" s="3">
        <v>0.01</v>
      </c>
      <c r="Q268" s="3">
        <v>6.44</v>
      </c>
      <c r="R268" s="3">
        <v>0.09</v>
      </c>
      <c r="S268" s="3">
        <v>9.81</v>
      </c>
      <c r="T268" s="3">
        <v>7.0000000000000007E-2</v>
      </c>
      <c r="U268" s="3">
        <v>2.21</v>
      </c>
      <c r="V268" s="3">
        <v>0.2</v>
      </c>
      <c r="W268" s="3">
        <v>0.33</v>
      </c>
      <c r="X268" s="3">
        <v>0.06</v>
      </c>
      <c r="Y268" s="3">
        <v>1.17</v>
      </c>
      <c r="Z268" s="3">
        <v>0.08</v>
      </c>
      <c r="AA268" s="3">
        <v>12.14</v>
      </c>
      <c r="AB268" s="3">
        <v>0.13</v>
      </c>
      <c r="AC268" s="3">
        <v>0.9</v>
      </c>
      <c r="AD268" s="3">
        <v>0.02</v>
      </c>
      <c r="AE268" s="3">
        <v>694</v>
      </c>
      <c r="AF268" s="3">
        <v>48</v>
      </c>
      <c r="AG268" s="3">
        <v>167</v>
      </c>
      <c r="AH268" s="3">
        <v>12</v>
      </c>
      <c r="AI268" s="3">
        <v>227</v>
      </c>
      <c r="AJ268" s="3">
        <v>18</v>
      </c>
    </row>
    <row r="269" spans="1:36" x14ac:dyDescent="0.25">
      <c r="A269" s="7">
        <v>3192</v>
      </c>
      <c r="B269" s="3" t="s">
        <v>4</v>
      </c>
      <c r="C269" s="3" t="s">
        <v>559</v>
      </c>
      <c r="D269" s="3"/>
      <c r="E269" s="3">
        <v>46.52</v>
      </c>
      <c r="F269" s="3">
        <v>0.44</v>
      </c>
      <c r="G269" s="3">
        <v>0.92</v>
      </c>
      <c r="H269" s="3">
        <v>7.0000000000000007E-2</v>
      </c>
      <c r="I269" s="3">
        <v>9.6199999999999992</v>
      </c>
      <c r="J269" s="3">
        <v>0.13</v>
      </c>
      <c r="K269" s="3">
        <v>0.23</v>
      </c>
      <c r="L269" s="3">
        <v>0.03</v>
      </c>
      <c r="M269" s="3">
        <v>15.07</v>
      </c>
      <c r="N269" s="3">
        <v>0.11</v>
      </c>
      <c r="O269" s="3">
        <v>0.47</v>
      </c>
      <c r="P269" s="3">
        <v>0.01</v>
      </c>
      <c r="Q269" s="3">
        <v>6.58</v>
      </c>
      <c r="R269" s="3">
        <v>0.1</v>
      </c>
      <c r="S269" s="3">
        <v>7.91</v>
      </c>
      <c r="T269" s="3">
        <v>0.06</v>
      </c>
      <c r="U269" s="3">
        <v>2.21</v>
      </c>
      <c r="V269" s="3">
        <v>0.23</v>
      </c>
      <c r="W269" s="3">
        <v>0.32</v>
      </c>
      <c r="X269" s="3">
        <v>0.06</v>
      </c>
      <c r="Y269" s="3">
        <v>1.23</v>
      </c>
      <c r="Z269" s="3">
        <v>0.08</v>
      </c>
      <c r="AA269" s="3">
        <v>7.87</v>
      </c>
      <c r="AB269" s="3">
        <v>0.1</v>
      </c>
      <c r="AC269" s="3">
        <v>0.92</v>
      </c>
      <c r="AD269" s="3">
        <v>0.02</v>
      </c>
      <c r="AE269" s="3">
        <v>723</v>
      </c>
      <c r="AF269" s="3">
        <v>51</v>
      </c>
      <c r="AG269" s="3">
        <v>193</v>
      </c>
      <c r="AH269" s="3">
        <v>13</v>
      </c>
      <c r="AI269" s="3">
        <v>157</v>
      </c>
      <c r="AJ269" s="3">
        <v>18</v>
      </c>
    </row>
    <row r="270" spans="1:36" x14ac:dyDescent="0.25">
      <c r="A270" s="7">
        <v>3194</v>
      </c>
      <c r="B270" s="3" t="s">
        <v>4</v>
      </c>
      <c r="C270" s="3" t="s">
        <v>560</v>
      </c>
      <c r="D270" s="3"/>
      <c r="E270" s="3">
        <v>45.28</v>
      </c>
      <c r="F270" s="3">
        <v>0.27</v>
      </c>
      <c r="G270" s="3">
        <v>0.89</v>
      </c>
      <c r="H270" s="3">
        <v>0.06</v>
      </c>
      <c r="I270" s="3">
        <v>9.14</v>
      </c>
      <c r="J270" s="3">
        <v>0.08</v>
      </c>
      <c r="K270" s="3">
        <v>0.27</v>
      </c>
      <c r="L270" s="3">
        <v>0.03</v>
      </c>
      <c r="M270" s="3">
        <v>14.81</v>
      </c>
      <c r="N270" s="3">
        <v>0.06</v>
      </c>
      <c r="O270" s="3">
        <v>0.48</v>
      </c>
      <c r="P270" s="3">
        <v>0.01</v>
      </c>
      <c r="Q270" s="3">
        <v>6.6</v>
      </c>
      <c r="R270" s="3">
        <v>7.0000000000000007E-2</v>
      </c>
      <c r="S270" s="3">
        <v>8.4700000000000006</v>
      </c>
      <c r="T270" s="3">
        <v>0.05</v>
      </c>
      <c r="U270" s="3">
        <v>2.1800000000000002</v>
      </c>
      <c r="V270" s="3">
        <v>0.16</v>
      </c>
      <c r="W270" s="3">
        <v>0.35</v>
      </c>
      <c r="X270" s="3">
        <v>0.06</v>
      </c>
      <c r="Y270" s="3">
        <v>1.1399999999999999</v>
      </c>
      <c r="Z270" s="3">
        <v>7.0000000000000007E-2</v>
      </c>
      <c r="AA270" s="3">
        <v>9.43</v>
      </c>
      <c r="AB270" s="3">
        <v>0.08</v>
      </c>
      <c r="AC270" s="3">
        <v>0.84</v>
      </c>
      <c r="AD270" s="3">
        <v>0.01</v>
      </c>
      <c r="AE270" s="3">
        <v>668</v>
      </c>
      <c r="AF270" s="3">
        <v>40</v>
      </c>
      <c r="AG270" s="3">
        <v>198</v>
      </c>
      <c r="AH270" s="3">
        <v>9</v>
      </c>
      <c r="AI270" s="3">
        <v>208</v>
      </c>
      <c r="AJ270" s="3">
        <v>15</v>
      </c>
    </row>
    <row r="271" spans="1:36" x14ac:dyDescent="0.25">
      <c r="A271" s="7">
        <v>3200</v>
      </c>
      <c r="B271" s="3" t="s">
        <v>4</v>
      </c>
      <c r="C271" s="3" t="s">
        <v>561</v>
      </c>
      <c r="D271" s="3"/>
      <c r="E271" s="3">
        <v>41.98</v>
      </c>
      <c r="F271" s="3">
        <v>0.37</v>
      </c>
      <c r="G271" s="3">
        <v>0.78</v>
      </c>
      <c r="H271" s="3">
        <v>0.06</v>
      </c>
      <c r="I271" s="3">
        <v>8.57</v>
      </c>
      <c r="J271" s="3">
        <v>0.11</v>
      </c>
      <c r="K271" s="3">
        <v>0.22</v>
      </c>
      <c r="L271" s="3">
        <v>0.03</v>
      </c>
      <c r="M271" s="3">
        <v>13.24</v>
      </c>
      <c r="N271" s="3">
        <v>0.09</v>
      </c>
      <c r="O271" s="3">
        <v>0.47</v>
      </c>
      <c r="P271" s="3">
        <v>0.01</v>
      </c>
      <c r="Q271" s="3">
        <v>6.28</v>
      </c>
      <c r="R271" s="3">
        <v>0.08</v>
      </c>
      <c r="S271" s="3">
        <v>10.35</v>
      </c>
      <c r="T271" s="3">
        <v>7.0000000000000007E-2</v>
      </c>
      <c r="U271" s="3">
        <v>2.09</v>
      </c>
      <c r="V271" s="3">
        <v>0.19</v>
      </c>
      <c r="W271" s="3">
        <v>0.27</v>
      </c>
      <c r="X271" s="3">
        <v>0.06</v>
      </c>
      <c r="Y271" s="3">
        <v>1.17</v>
      </c>
      <c r="Z271" s="3">
        <v>0.08</v>
      </c>
      <c r="AA271" s="3">
        <v>13.51</v>
      </c>
      <c r="AB271" s="3">
        <v>0.13</v>
      </c>
      <c r="AC271" s="3">
        <v>0.95</v>
      </c>
      <c r="AD271" s="3">
        <v>0.02</v>
      </c>
      <c r="AE271" s="3">
        <v>670</v>
      </c>
      <c r="AF271" s="3">
        <v>44</v>
      </c>
      <c r="AG271" s="3">
        <v>144</v>
      </c>
      <c r="AH271" s="3">
        <v>10</v>
      </c>
      <c r="AI271" s="3">
        <v>208</v>
      </c>
      <c r="AJ271" s="3">
        <v>17</v>
      </c>
    </row>
    <row r="272" spans="1:36" x14ac:dyDescent="0.25">
      <c r="A272" s="7">
        <v>3207</v>
      </c>
      <c r="B272" s="3" t="s">
        <v>4</v>
      </c>
      <c r="C272" s="3" t="s">
        <v>562</v>
      </c>
      <c r="D272" s="3"/>
      <c r="E272" s="3">
        <v>48.04</v>
      </c>
      <c r="F272" s="3">
        <v>0.39</v>
      </c>
      <c r="G272" s="3">
        <v>0.96</v>
      </c>
      <c r="H272" s="3">
        <v>7.0000000000000007E-2</v>
      </c>
      <c r="I272" s="3">
        <v>10.37</v>
      </c>
      <c r="J272" s="3">
        <v>0.12</v>
      </c>
      <c r="K272" s="3">
        <v>0.22</v>
      </c>
      <c r="L272" s="3">
        <v>0.03</v>
      </c>
      <c r="M272" s="3">
        <v>16.39</v>
      </c>
      <c r="N272" s="3">
        <v>0.08</v>
      </c>
      <c r="O272" s="3">
        <v>0.28999999999999998</v>
      </c>
      <c r="P272" s="3">
        <v>0.01</v>
      </c>
      <c r="Q272" s="3">
        <v>7.41</v>
      </c>
      <c r="R272" s="3">
        <v>0.1</v>
      </c>
      <c r="S272" s="3">
        <v>5.51</v>
      </c>
      <c r="T272" s="3">
        <v>0.04</v>
      </c>
      <c r="U272" s="3">
        <v>2.31</v>
      </c>
      <c r="V272" s="3">
        <v>0.21</v>
      </c>
      <c r="W272" s="3">
        <v>0.36</v>
      </c>
      <c r="X272" s="3">
        <v>0.06</v>
      </c>
      <c r="Y272" s="3">
        <v>1.62</v>
      </c>
      <c r="Z272" s="3">
        <v>0.09</v>
      </c>
      <c r="AA272" s="3">
        <v>5.39</v>
      </c>
      <c r="AB272" s="3">
        <v>7.0000000000000007E-2</v>
      </c>
      <c r="AC272" s="3">
        <v>0.96</v>
      </c>
      <c r="AD272" s="3">
        <v>0.02</v>
      </c>
      <c r="AE272" s="3">
        <v>935</v>
      </c>
      <c r="AF272" s="3">
        <v>48</v>
      </c>
      <c r="AG272" s="3">
        <v>194</v>
      </c>
      <c r="AH272" s="3">
        <v>11</v>
      </c>
      <c r="AI272" s="3">
        <v>54</v>
      </c>
      <c r="AJ272" s="3">
        <v>15</v>
      </c>
    </row>
    <row r="273" spans="1:36" x14ac:dyDescent="0.25">
      <c r="A273" s="7">
        <v>3208</v>
      </c>
      <c r="B273" s="3" t="s">
        <v>4</v>
      </c>
      <c r="C273" s="3" t="s">
        <v>563</v>
      </c>
      <c r="D273" s="3"/>
      <c r="E273" s="3">
        <v>50.3</v>
      </c>
      <c r="F273" s="3">
        <v>0.55000000000000004</v>
      </c>
      <c r="G273" s="3">
        <v>0.98</v>
      </c>
      <c r="H273" s="3">
        <v>0.09</v>
      </c>
      <c r="I273" s="3">
        <v>10.51</v>
      </c>
      <c r="J273" s="3">
        <v>0.18</v>
      </c>
      <c r="K273" s="3">
        <v>0.26</v>
      </c>
      <c r="L273" s="3">
        <v>0.04</v>
      </c>
      <c r="M273" s="3">
        <v>14.76</v>
      </c>
      <c r="N273" s="3">
        <v>0.14000000000000001</v>
      </c>
      <c r="O273" s="3">
        <v>0.28000000000000003</v>
      </c>
      <c r="P273" s="3">
        <v>0.02</v>
      </c>
      <c r="Q273" s="3">
        <v>7.99</v>
      </c>
      <c r="R273" s="3">
        <v>0.15</v>
      </c>
      <c r="S273" s="3">
        <v>5.96</v>
      </c>
      <c r="T273" s="3">
        <v>7.0000000000000007E-2</v>
      </c>
      <c r="U273" s="3">
        <v>2.21</v>
      </c>
      <c r="V273" s="3">
        <v>0.27</v>
      </c>
      <c r="W273" s="3">
        <v>0.35</v>
      </c>
      <c r="X273" s="3">
        <v>0.06</v>
      </c>
      <c r="Y273" s="3">
        <v>0.87</v>
      </c>
      <c r="Z273" s="3">
        <v>0.09</v>
      </c>
      <c r="AA273" s="3">
        <v>4.54</v>
      </c>
      <c r="AB273" s="3">
        <v>0.1</v>
      </c>
      <c r="AC273" s="3">
        <v>0.84</v>
      </c>
      <c r="AD273" s="3">
        <v>0.03</v>
      </c>
      <c r="AE273" s="3">
        <v>741</v>
      </c>
      <c r="AF273" s="3">
        <v>68</v>
      </c>
      <c r="AG273" s="3">
        <v>199</v>
      </c>
      <c r="AH273" s="3">
        <v>21</v>
      </c>
      <c r="AI273" s="3">
        <v>182</v>
      </c>
      <c r="AJ273" s="3">
        <v>23</v>
      </c>
    </row>
    <row r="274" spans="1:36" x14ac:dyDescent="0.25">
      <c r="A274" s="7">
        <v>3209</v>
      </c>
      <c r="B274" s="3" t="s">
        <v>5</v>
      </c>
      <c r="C274" s="3" t="s">
        <v>564</v>
      </c>
      <c r="D274" s="3"/>
      <c r="E274" s="3">
        <v>50.14</v>
      </c>
      <c r="F274" s="3">
        <v>0.45</v>
      </c>
      <c r="G274" s="3">
        <v>0.96</v>
      </c>
      <c r="H274" s="3">
        <v>0.08</v>
      </c>
      <c r="I274" s="3">
        <v>10.47</v>
      </c>
      <c r="J274" s="3">
        <v>0.13</v>
      </c>
      <c r="K274" s="3">
        <v>0.28999999999999998</v>
      </c>
      <c r="L274" s="3">
        <v>0.03</v>
      </c>
      <c r="M274" s="3">
        <v>14.75</v>
      </c>
      <c r="N274" s="3">
        <v>0.11</v>
      </c>
      <c r="O274" s="3">
        <v>0.28000000000000003</v>
      </c>
      <c r="P274" s="3">
        <v>0.01</v>
      </c>
      <c r="Q274" s="3">
        <v>8.2200000000000006</v>
      </c>
      <c r="R274" s="3">
        <v>0.11</v>
      </c>
      <c r="S274" s="3">
        <v>5.81</v>
      </c>
      <c r="T274" s="3">
        <v>0.05</v>
      </c>
      <c r="U274" s="3">
        <v>2.25</v>
      </c>
      <c r="V274" s="3">
        <v>0.21</v>
      </c>
      <c r="W274" s="3">
        <v>0.33</v>
      </c>
      <c r="X274" s="3">
        <v>0.06</v>
      </c>
      <c r="Y274" s="3">
        <v>0.89</v>
      </c>
      <c r="Z274" s="3">
        <v>0.08</v>
      </c>
      <c r="AA274" s="3">
        <v>4.6399999999999997</v>
      </c>
      <c r="AB274" s="3">
        <v>7.0000000000000007E-2</v>
      </c>
      <c r="AC274" s="3">
        <v>0.85</v>
      </c>
      <c r="AD274" s="3">
        <v>0.02</v>
      </c>
      <c r="AE274" s="3">
        <v>738</v>
      </c>
      <c r="AF274" s="3">
        <v>51</v>
      </c>
      <c r="AG274" s="3">
        <v>176</v>
      </c>
      <c r="AH274" s="3">
        <v>13</v>
      </c>
      <c r="AI274" s="3">
        <v>159</v>
      </c>
      <c r="AJ274" s="3">
        <v>18</v>
      </c>
    </row>
    <row r="275" spans="1:36" x14ac:dyDescent="0.25">
      <c r="A275" s="7">
        <v>3214</v>
      </c>
      <c r="B275" s="3" t="s">
        <v>4</v>
      </c>
      <c r="C275" s="3" t="s">
        <v>565</v>
      </c>
      <c r="D275" s="3"/>
      <c r="E275" s="3">
        <v>46.31</v>
      </c>
      <c r="F275" s="3">
        <v>0.47</v>
      </c>
      <c r="G275" s="3">
        <v>0.87</v>
      </c>
      <c r="H275" s="3">
        <v>7.0000000000000007E-2</v>
      </c>
      <c r="I275" s="3">
        <v>9.91</v>
      </c>
      <c r="J275" s="3">
        <v>0.15</v>
      </c>
      <c r="K275" s="3">
        <v>0.27</v>
      </c>
      <c r="L275" s="3">
        <v>0.04</v>
      </c>
      <c r="M275" s="3">
        <v>15.91</v>
      </c>
      <c r="N275" s="3">
        <v>0.13</v>
      </c>
      <c r="O275" s="3">
        <v>0.33</v>
      </c>
      <c r="P275" s="3">
        <v>0.01</v>
      </c>
      <c r="Q275" s="3">
        <v>8.33</v>
      </c>
      <c r="R275" s="3">
        <v>0.13</v>
      </c>
      <c r="S275" s="3">
        <v>5.9</v>
      </c>
      <c r="T275" s="3">
        <v>0.06</v>
      </c>
      <c r="U275" s="3">
        <v>2.36</v>
      </c>
      <c r="V275" s="3">
        <v>0.24</v>
      </c>
      <c r="W275" s="3">
        <v>0.39</v>
      </c>
      <c r="X275" s="3">
        <v>0.06</v>
      </c>
      <c r="Y275" s="3">
        <v>0.93</v>
      </c>
      <c r="Z275" s="3">
        <v>0.09</v>
      </c>
      <c r="AA275" s="3">
        <v>6.77</v>
      </c>
      <c r="AB275" s="3">
        <v>0.11</v>
      </c>
      <c r="AC275" s="3">
        <v>1.5</v>
      </c>
      <c r="AD275" s="3">
        <v>0.03</v>
      </c>
      <c r="AE275" s="3">
        <v>938</v>
      </c>
      <c r="AF275" s="3">
        <v>63</v>
      </c>
      <c r="AG275" s="3">
        <v>228</v>
      </c>
      <c r="AH275" s="3">
        <v>18</v>
      </c>
      <c r="AI275" s="3">
        <v>108</v>
      </c>
      <c r="AJ275" s="3">
        <v>19</v>
      </c>
    </row>
    <row r="276" spans="1:36" x14ac:dyDescent="0.25">
      <c r="A276" s="7">
        <v>3224</v>
      </c>
      <c r="B276" s="3" t="s">
        <v>4</v>
      </c>
      <c r="C276" s="3" t="s">
        <v>566</v>
      </c>
      <c r="D276" s="3"/>
      <c r="E276" s="3">
        <v>43.6</v>
      </c>
      <c r="F276" s="3">
        <v>0.42</v>
      </c>
      <c r="G276" s="3">
        <v>0.87</v>
      </c>
      <c r="H276" s="3">
        <v>0.08</v>
      </c>
      <c r="I276" s="3">
        <v>8.94</v>
      </c>
      <c r="J276" s="3">
        <v>0.13</v>
      </c>
      <c r="K276" s="3">
        <v>0.25</v>
      </c>
      <c r="L276" s="3">
        <v>0.03</v>
      </c>
      <c r="M276" s="3">
        <v>15.49</v>
      </c>
      <c r="N276" s="3">
        <v>0.12</v>
      </c>
      <c r="O276" s="3">
        <v>0.36</v>
      </c>
      <c r="P276" s="3">
        <v>0.01</v>
      </c>
      <c r="Q276" s="3">
        <v>8.17</v>
      </c>
      <c r="R276" s="3">
        <v>0.12</v>
      </c>
      <c r="S276" s="3">
        <v>7.02</v>
      </c>
      <c r="T276" s="3">
        <v>0.06</v>
      </c>
      <c r="U276" s="3">
        <v>2.2400000000000002</v>
      </c>
      <c r="V276" s="3">
        <v>0.23</v>
      </c>
      <c r="W276" s="3">
        <v>0.41</v>
      </c>
      <c r="X276" s="3">
        <v>0.06</v>
      </c>
      <c r="Y276" s="3">
        <v>0.99</v>
      </c>
      <c r="Z276" s="3">
        <v>0.08</v>
      </c>
      <c r="AA276" s="3">
        <v>9.7899999999999991</v>
      </c>
      <c r="AB276" s="3">
        <v>0.13</v>
      </c>
      <c r="AC276" s="3">
        <v>1.7</v>
      </c>
      <c r="AD276" s="3">
        <v>0.03</v>
      </c>
      <c r="AE276" s="3">
        <v>863</v>
      </c>
      <c r="AF276" s="3">
        <v>57</v>
      </c>
      <c r="AG276" s="3">
        <v>414</v>
      </c>
      <c r="AH276" s="3">
        <v>19</v>
      </c>
      <c r="AI276" s="3">
        <v>85</v>
      </c>
      <c r="AJ276" s="3">
        <v>18</v>
      </c>
    </row>
    <row r="277" spans="1:36" x14ac:dyDescent="0.25">
      <c r="A277" s="7">
        <v>3239</v>
      </c>
      <c r="B277" s="3" t="s">
        <v>4</v>
      </c>
      <c r="C277" s="3" t="s">
        <v>567</v>
      </c>
      <c r="D277" s="3"/>
      <c r="E277" s="3">
        <v>58.44</v>
      </c>
      <c r="F277" s="3">
        <v>0.66</v>
      </c>
      <c r="G277" s="3">
        <v>1.1599999999999999</v>
      </c>
      <c r="H277" s="3">
        <v>0.08</v>
      </c>
      <c r="I277" s="3">
        <v>12.92</v>
      </c>
      <c r="J277" s="3">
        <v>0.28000000000000003</v>
      </c>
      <c r="K277" s="3">
        <v>0.32</v>
      </c>
      <c r="L277" s="3">
        <v>0.04</v>
      </c>
      <c r="M277" s="3">
        <v>5.8</v>
      </c>
      <c r="N277" s="3">
        <v>0.08</v>
      </c>
      <c r="O277" s="3">
        <v>0.16</v>
      </c>
      <c r="P277" s="3">
        <v>0.01</v>
      </c>
      <c r="Q277" s="3">
        <v>5.89</v>
      </c>
      <c r="R277" s="3">
        <v>0.19</v>
      </c>
      <c r="S277" s="3">
        <v>4.03</v>
      </c>
      <c r="T277" s="3">
        <v>0.06</v>
      </c>
      <c r="U277" s="3">
        <v>1.66</v>
      </c>
      <c r="V277" s="3">
        <v>0.33</v>
      </c>
      <c r="W277" s="3">
        <v>0.37</v>
      </c>
      <c r="X277" s="3">
        <v>0.06</v>
      </c>
      <c r="Y277" s="3">
        <v>1.19</v>
      </c>
      <c r="Z277" s="3">
        <v>0.11</v>
      </c>
      <c r="AA277" s="3">
        <v>6.25</v>
      </c>
      <c r="AB277" s="3">
        <v>0.13</v>
      </c>
      <c r="AC277" s="3">
        <v>1.58</v>
      </c>
      <c r="AD277" s="3">
        <v>0.04</v>
      </c>
      <c r="AE277" s="3">
        <v>644</v>
      </c>
      <c r="AF277" s="3">
        <v>60</v>
      </c>
      <c r="AG277" s="3">
        <v>304</v>
      </c>
      <c r="AH277" s="3">
        <v>22</v>
      </c>
      <c r="AI277" s="3">
        <v>114</v>
      </c>
      <c r="AJ277" s="3">
        <v>20</v>
      </c>
    </row>
    <row r="278" spans="1:36" x14ac:dyDescent="0.25">
      <c r="A278" s="7">
        <v>3247</v>
      </c>
      <c r="B278" s="3" t="s">
        <v>4</v>
      </c>
      <c r="C278" s="3" t="s">
        <v>568</v>
      </c>
      <c r="D278" s="3"/>
      <c r="E278" s="3">
        <v>48.86</v>
      </c>
      <c r="F278" s="3">
        <v>0.43</v>
      </c>
      <c r="G278" s="3">
        <v>0.87</v>
      </c>
      <c r="H278" s="3">
        <v>7.0000000000000007E-2</v>
      </c>
      <c r="I278" s="3">
        <v>9.65</v>
      </c>
      <c r="J278" s="3">
        <v>0.12</v>
      </c>
      <c r="K278" s="3">
        <v>0.28999999999999998</v>
      </c>
      <c r="L278" s="3">
        <v>0.03</v>
      </c>
      <c r="M278" s="3">
        <v>16.96</v>
      </c>
      <c r="N278" s="3">
        <v>0.11</v>
      </c>
      <c r="O278" s="3">
        <v>0.28999999999999998</v>
      </c>
      <c r="P278" s="3">
        <v>0.01</v>
      </c>
      <c r="Q278" s="3">
        <v>7.76</v>
      </c>
      <c r="R278" s="3">
        <v>0.1</v>
      </c>
      <c r="S278" s="3">
        <v>5.5</v>
      </c>
      <c r="T278" s="3">
        <v>0.04</v>
      </c>
      <c r="U278" s="3">
        <v>2.17</v>
      </c>
      <c r="V278" s="3">
        <v>0.19</v>
      </c>
      <c r="W278" s="3">
        <v>0.46</v>
      </c>
      <c r="X278" s="3">
        <v>0.06</v>
      </c>
      <c r="Y278" s="3">
        <v>0.8</v>
      </c>
      <c r="Z278" s="3">
        <v>7.0000000000000007E-2</v>
      </c>
      <c r="AA278" s="3">
        <v>5.22</v>
      </c>
      <c r="AB278" s="3">
        <v>7.0000000000000007E-2</v>
      </c>
      <c r="AC278" s="3">
        <v>1.04</v>
      </c>
      <c r="AD278" s="3">
        <v>0.02</v>
      </c>
      <c r="AE278" s="3">
        <v>691</v>
      </c>
      <c r="AF278" s="3">
        <v>48</v>
      </c>
      <c r="AG278" s="3">
        <v>199</v>
      </c>
      <c r="AH278" s="3">
        <v>12</v>
      </c>
      <c r="AI278" s="3">
        <v>88</v>
      </c>
      <c r="AJ278" s="3">
        <v>16</v>
      </c>
    </row>
    <row r="279" spans="1:36" x14ac:dyDescent="0.25">
      <c r="A279" s="7">
        <v>3248</v>
      </c>
      <c r="B279" s="3" t="s">
        <v>4</v>
      </c>
      <c r="C279" s="3" t="s">
        <v>569</v>
      </c>
      <c r="D279" s="3"/>
      <c r="E279" s="3">
        <v>48.83</v>
      </c>
      <c r="F279" s="3">
        <v>0.44</v>
      </c>
      <c r="G279" s="3">
        <v>0.81</v>
      </c>
      <c r="H279" s="3">
        <v>7.0000000000000007E-2</v>
      </c>
      <c r="I279" s="3">
        <v>10.06</v>
      </c>
      <c r="J279" s="3">
        <v>0.12</v>
      </c>
      <c r="K279" s="3">
        <v>0.28000000000000003</v>
      </c>
      <c r="L279" s="3">
        <v>0.03</v>
      </c>
      <c r="M279" s="3">
        <v>16.690000000000001</v>
      </c>
      <c r="N279" s="3">
        <v>0.11</v>
      </c>
      <c r="O279" s="3">
        <v>0.25</v>
      </c>
      <c r="P279" s="3">
        <v>0.01</v>
      </c>
      <c r="Q279" s="3">
        <v>8.14</v>
      </c>
      <c r="R279" s="3">
        <v>0.1</v>
      </c>
      <c r="S279" s="3">
        <v>5.46</v>
      </c>
      <c r="T279" s="3">
        <v>0.05</v>
      </c>
      <c r="U279" s="3">
        <v>2.41</v>
      </c>
      <c r="V279" s="3">
        <v>0.2</v>
      </c>
      <c r="W279" s="3">
        <v>0.3</v>
      </c>
      <c r="X279" s="3">
        <v>0.06</v>
      </c>
      <c r="Y279" s="3">
        <v>0.88</v>
      </c>
      <c r="Z279" s="3">
        <v>7.0000000000000007E-2</v>
      </c>
      <c r="AA279" s="3">
        <v>4.78</v>
      </c>
      <c r="AB279" s="3">
        <v>7.0000000000000007E-2</v>
      </c>
      <c r="AC279" s="3">
        <v>0.99</v>
      </c>
      <c r="AD279" s="3">
        <v>0.02</v>
      </c>
      <c r="AE279" s="3">
        <v>724</v>
      </c>
      <c r="AF279" s="3">
        <v>50</v>
      </c>
      <c r="AG279" s="3">
        <v>159</v>
      </c>
      <c r="AH279" s="3">
        <v>12</v>
      </c>
      <c r="AI279" s="3">
        <v>53</v>
      </c>
      <c r="AJ279" s="3">
        <v>16</v>
      </c>
    </row>
    <row r="280" spans="1:36" x14ac:dyDescent="0.25">
      <c r="A280" s="7">
        <v>3249</v>
      </c>
      <c r="B280" s="3" t="s">
        <v>4</v>
      </c>
      <c r="C280" s="3" t="s">
        <v>570</v>
      </c>
      <c r="D280" s="3"/>
      <c r="E280" s="3">
        <v>49.44</v>
      </c>
      <c r="F280" s="3">
        <v>0.49</v>
      </c>
      <c r="G280" s="3">
        <v>0.81</v>
      </c>
      <c r="H280" s="3">
        <v>7.0000000000000007E-2</v>
      </c>
      <c r="I280" s="3">
        <v>9.8699999999999992</v>
      </c>
      <c r="J280" s="3">
        <v>0.15</v>
      </c>
      <c r="K280" s="3">
        <v>0.32</v>
      </c>
      <c r="L280" s="3">
        <v>0.04</v>
      </c>
      <c r="M280" s="3">
        <v>16.95</v>
      </c>
      <c r="N280" s="3">
        <v>0.13</v>
      </c>
      <c r="O280" s="3">
        <v>0.24</v>
      </c>
      <c r="P280" s="3">
        <v>0.01</v>
      </c>
      <c r="Q280" s="3">
        <v>8.24</v>
      </c>
      <c r="R280" s="3">
        <v>0.13</v>
      </c>
      <c r="S280" s="3">
        <v>5.17</v>
      </c>
      <c r="T280" s="3">
        <v>0.05</v>
      </c>
      <c r="U280" s="3">
        <v>2.15</v>
      </c>
      <c r="V280" s="3">
        <v>0.23</v>
      </c>
      <c r="W280" s="3">
        <v>0.41</v>
      </c>
      <c r="X280" s="3">
        <v>0.06</v>
      </c>
      <c r="Y280" s="3">
        <v>0.74</v>
      </c>
      <c r="Z280" s="3">
        <v>0.08</v>
      </c>
      <c r="AA280" s="3">
        <v>4.67</v>
      </c>
      <c r="AB280" s="3">
        <v>0.08</v>
      </c>
      <c r="AC280" s="3">
        <v>0.88</v>
      </c>
      <c r="AD280" s="3">
        <v>0.02</v>
      </c>
      <c r="AE280" s="3">
        <v>806</v>
      </c>
      <c r="AF280" s="3">
        <v>61</v>
      </c>
      <c r="AG280" s="3">
        <v>155</v>
      </c>
      <c r="AH280" s="3">
        <v>17</v>
      </c>
      <c r="AI280" s="3">
        <v>48</v>
      </c>
      <c r="AJ280" s="3">
        <v>19</v>
      </c>
    </row>
    <row r="281" spans="1:36" x14ac:dyDescent="0.25">
      <c r="A281" s="7">
        <v>3251</v>
      </c>
      <c r="B281" s="3" t="s">
        <v>6</v>
      </c>
      <c r="C281" s="3" t="s">
        <v>571</v>
      </c>
      <c r="D281" s="3"/>
      <c r="E281" s="3">
        <v>50.2</v>
      </c>
      <c r="F281" s="3">
        <v>0.6</v>
      </c>
      <c r="G281" s="3">
        <v>0.89</v>
      </c>
      <c r="H281" s="3">
        <v>0.08</v>
      </c>
      <c r="I281" s="3">
        <v>9.91</v>
      </c>
      <c r="J281" s="3">
        <v>0.2</v>
      </c>
      <c r="K281" s="3">
        <v>0.26</v>
      </c>
      <c r="L281" s="3">
        <v>0.04</v>
      </c>
      <c r="M281" s="3">
        <v>16.62</v>
      </c>
      <c r="N281" s="3">
        <v>0.16</v>
      </c>
      <c r="O281" s="3">
        <v>0.28999999999999998</v>
      </c>
      <c r="P281" s="3">
        <v>0.02</v>
      </c>
      <c r="Q281" s="3">
        <v>8.68</v>
      </c>
      <c r="R281" s="3">
        <v>0.17</v>
      </c>
      <c r="S281" s="3">
        <v>5.21</v>
      </c>
      <c r="T281" s="3">
        <v>7.0000000000000007E-2</v>
      </c>
      <c r="U281" s="3">
        <v>2.0499999999999998</v>
      </c>
      <c r="V281" s="3">
        <v>0.28000000000000003</v>
      </c>
      <c r="W281" s="3">
        <v>0.32</v>
      </c>
      <c r="X281" s="3">
        <v>0.06</v>
      </c>
      <c r="Y281" s="3">
        <v>0.62</v>
      </c>
      <c r="Z281" s="3">
        <v>0.09</v>
      </c>
      <c r="AA281" s="3">
        <v>4.08</v>
      </c>
      <c r="AB281" s="3">
        <v>0.1</v>
      </c>
      <c r="AC281" s="3">
        <v>0.76</v>
      </c>
      <c r="AD281" s="3">
        <v>0.03</v>
      </c>
      <c r="AE281" s="3">
        <v>749</v>
      </c>
      <c r="AF281" s="3">
        <v>77</v>
      </c>
      <c r="AG281" s="3">
        <v>133</v>
      </c>
      <c r="AH281" s="3">
        <v>23</v>
      </c>
      <c r="AI281" s="3">
        <v>59</v>
      </c>
      <c r="AJ281" s="3">
        <v>22</v>
      </c>
    </row>
    <row r="282" spans="1:36" x14ac:dyDescent="0.25">
      <c r="A282" s="7">
        <v>3252</v>
      </c>
      <c r="B282" s="3" t="s">
        <v>6</v>
      </c>
      <c r="C282" s="3" t="s">
        <v>572</v>
      </c>
      <c r="D282" s="3"/>
      <c r="E282" s="3">
        <v>50.1</v>
      </c>
      <c r="F282" s="3">
        <v>0.59</v>
      </c>
      <c r="G282" s="3">
        <v>0.74</v>
      </c>
      <c r="H282" s="3">
        <v>0.08</v>
      </c>
      <c r="I282" s="3">
        <v>9.94</v>
      </c>
      <c r="J282" s="3">
        <v>0.22</v>
      </c>
      <c r="K282" s="3">
        <v>0.34</v>
      </c>
      <c r="L282" s="3">
        <v>0.04</v>
      </c>
      <c r="M282" s="3">
        <v>16.489999999999998</v>
      </c>
      <c r="N282" s="3">
        <v>0.16</v>
      </c>
      <c r="O282" s="3">
        <v>0.28000000000000003</v>
      </c>
      <c r="P282" s="3">
        <v>0.02</v>
      </c>
      <c r="Q282" s="3">
        <v>8.77</v>
      </c>
      <c r="R282" s="3">
        <v>0.24</v>
      </c>
      <c r="S282" s="3">
        <v>5.01</v>
      </c>
      <c r="T282" s="3">
        <v>7.0000000000000007E-2</v>
      </c>
      <c r="U282" s="3">
        <v>2.3199999999999998</v>
      </c>
      <c r="V282" s="3">
        <v>0.43</v>
      </c>
      <c r="W282" s="3">
        <v>0.35</v>
      </c>
      <c r="X282" s="3">
        <v>0.06</v>
      </c>
      <c r="Y282" s="3">
        <v>0.7</v>
      </c>
      <c r="Z282" s="3">
        <v>0.09</v>
      </c>
      <c r="AA282" s="3">
        <v>4.08</v>
      </c>
      <c r="AB282" s="3">
        <v>0.1</v>
      </c>
      <c r="AC282" s="3">
        <v>0.76</v>
      </c>
      <c r="AD282" s="3">
        <v>0.03</v>
      </c>
      <c r="AE282" s="3">
        <v>849</v>
      </c>
      <c r="AF282" s="3">
        <v>78</v>
      </c>
      <c r="AG282" s="3">
        <v>111</v>
      </c>
      <c r="AH282" s="3">
        <v>23</v>
      </c>
      <c r="AI282" s="3">
        <v>44</v>
      </c>
      <c r="AJ282" s="3">
        <v>22</v>
      </c>
    </row>
    <row r="283" spans="1:36" x14ac:dyDescent="0.25">
      <c r="A283" s="7">
        <v>3253</v>
      </c>
      <c r="B283" s="3" t="s">
        <v>6</v>
      </c>
      <c r="C283" s="3" t="s">
        <v>573</v>
      </c>
      <c r="D283" s="3"/>
      <c r="E283" s="3">
        <v>49.5</v>
      </c>
      <c r="F283" s="3">
        <v>0.53</v>
      </c>
      <c r="G283" s="3">
        <v>0.81</v>
      </c>
      <c r="H283" s="3">
        <v>0.09</v>
      </c>
      <c r="I283" s="3">
        <v>9.61</v>
      </c>
      <c r="J283" s="3">
        <v>0.16</v>
      </c>
      <c r="K283" s="3">
        <v>0.36</v>
      </c>
      <c r="L283" s="3">
        <v>0.04</v>
      </c>
      <c r="M283" s="3">
        <v>17.899999999999999</v>
      </c>
      <c r="N283" s="3">
        <v>0.15</v>
      </c>
      <c r="O283" s="3">
        <v>0.28999999999999998</v>
      </c>
      <c r="P283" s="3">
        <v>0.02</v>
      </c>
      <c r="Q283" s="3">
        <v>9.2899999999999991</v>
      </c>
      <c r="R283" s="3">
        <v>0.15</v>
      </c>
      <c r="S283" s="3">
        <v>5.1100000000000003</v>
      </c>
      <c r="T283" s="3">
        <v>0.06</v>
      </c>
      <c r="U283" s="3">
        <v>2.21</v>
      </c>
      <c r="V283" s="3">
        <v>0.25</v>
      </c>
      <c r="W283" s="3">
        <v>0.36</v>
      </c>
      <c r="X283" s="3">
        <v>0.06</v>
      </c>
      <c r="Y283" s="3">
        <v>0.59</v>
      </c>
      <c r="Z283" s="3">
        <v>0.08</v>
      </c>
      <c r="AA283" s="3">
        <v>3.32</v>
      </c>
      <c r="AB283" s="3">
        <v>0.08</v>
      </c>
      <c r="AC283" s="3">
        <v>0.47</v>
      </c>
      <c r="AD283" s="3">
        <v>0.02</v>
      </c>
      <c r="AE283" s="3">
        <v>1165</v>
      </c>
      <c r="AF283" s="3">
        <v>76</v>
      </c>
      <c r="AG283" s="3">
        <v>132</v>
      </c>
      <c r="AH283" s="3">
        <v>20</v>
      </c>
      <c r="AI283" s="3">
        <v>57</v>
      </c>
      <c r="AJ283" s="3">
        <v>19</v>
      </c>
    </row>
    <row r="284" spans="1:36" x14ac:dyDescent="0.25">
      <c r="A284" s="7">
        <v>3262</v>
      </c>
      <c r="B284" s="3" t="s">
        <v>4</v>
      </c>
      <c r="C284" s="3" t="s">
        <v>574</v>
      </c>
      <c r="D284" s="3"/>
      <c r="E284" s="3">
        <v>53.29</v>
      </c>
      <c r="F284" s="3">
        <v>0.47</v>
      </c>
      <c r="G284" s="3">
        <v>1.02</v>
      </c>
      <c r="H284" s="3">
        <v>7.0000000000000007E-2</v>
      </c>
      <c r="I284" s="3">
        <v>11.47</v>
      </c>
      <c r="J284" s="3">
        <v>0.14000000000000001</v>
      </c>
      <c r="K284" s="3">
        <v>0.3</v>
      </c>
      <c r="L284" s="3">
        <v>0.03</v>
      </c>
      <c r="M284" s="3">
        <v>7.81</v>
      </c>
      <c r="N284" s="3">
        <v>0.06</v>
      </c>
      <c r="O284" s="3">
        <v>0.28000000000000003</v>
      </c>
      <c r="P284" s="3">
        <v>0.01</v>
      </c>
      <c r="Q284" s="3">
        <v>6.19</v>
      </c>
      <c r="R284" s="3">
        <v>0.1</v>
      </c>
      <c r="S284" s="3">
        <v>5.05</v>
      </c>
      <c r="T284" s="3">
        <v>0.04</v>
      </c>
      <c r="U284" s="3">
        <v>2.2799999999999998</v>
      </c>
      <c r="V284" s="3">
        <v>0.21</v>
      </c>
      <c r="W284" s="3">
        <v>0.39</v>
      </c>
      <c r="X284" s="3">
        <v>0.06</v>
      </c>
      <c r="Y284" s="3">
        <v>1.3</v>
      </c>
      <c r="Z284" s="3">
        <v>0.08</v>
      </c>
      <c r="AA284" s="3">
        <v>7.88</v>
      </c>
      <c r="AB284" s="3">
        <v>0.09</v>
      </c>
      <c r="AC284" s="3">
        <v>2.5299999999999998</v>
      </c>
      <c r="AD284" s="3">
        <v>0.03</v>
      </c>
      <c r="AE284" s="3">
        <v>606</v>
      </c>
      <c r="AF284" s="3">
        <v>41</v>
      </c>
      <c r="AG284" s="3">
        <v>377</v>
      </c>
      <c r="AH284" s="3">
        <v>12</v>
      </c>
      <c r="AI284" s="3">
        <v>213</v>
      </c>
      <c r="AJ284" s="3">
        <v>16</v>
      </c>
    </row>
    <row r="285" spans="1:36" x14ac:dyDescent="0.25">
      <c r="A285" s="7">
        <v>3264</v>
      </c>
      <c r="B285" s="3" t="s">
        <v>5</v>
      </c>
      <c r="C285" s="3" t="s">
        <v>575</v>
      </c>
      <c r="D285" s="3"/>
      <c r="E285" s="3">
        <v>50.56</v>
      </c>
      <c r="F285" s="3">
        <v>0.3</v>
      </c>
      <c r="G285" s="3">
        <v>0.99</v>
      </c>
      <c r="H285" s="3">
        <v>7.0000000000000007E-2</v>
      </c>
      <c r="I285" s="3">
        <v>10.36</v>
      </c>
      <c r="J285" s="3">
        <v>0.09</v>
      </c>
      <c r="K285" s="3">
        <v>0.28000000000000003</v>
      </c>
      <c r="L285" s="3">
        <v>0.03</v>
      </c>
      <c r="M285" s="3">
        <v>9.59</v>
      </c>
      <c r="N285" s="3">
        <v>0.04</v>
      </c>
      <c r="O285" s="3">
        <v>0.27</v>
      </c>
      <c r="P285" s="3">
        <v>0.01</v>
      </c>
      <c r="Q285" s="3">
        <v>6.49</v>
      </c>
      <c r="R285" s="3">
        <v>7.0000000000000007E-2</v>
      </c>
      <c r="S285" s="3">
        <v>5.8</v>
      </c>
      <c r="T285" s="3">
        <v>0.04</v>
      </c>
      <c r="U285" s="3">
        <v>2.16</v>
      </c>
      <c r="V285" s="3">
        <v>0.16</v>
      </c>
      <c r="W285" s="3">
        <v>0.45</v>
      </c>
      <c r="X285" s="3">
        <v>0.06</v>
      </c>
      <c r="Y285" s="3">
        <v>1.26</v>
      </c>
      <c r="Z285" s="3">
        <v>7.0000000000000007E-2</v>
      </c>
      <c r="AA285" s="3">
        <v>8.93</v>
      </c>
      <c r="AB285" s="3">
        <v>0.08</v>
      </c>
      <c r="AC285" s="3">
        <v>2.61</v>
      </c>
      <c r="AD285" s="3">
        <v>0.03</v>
      </c>
      <c r="AE285" s="3">
        <v>707</v>
      </c>
      <c r="AF285" s="3">
        <v>41</v>
      </c>
      <c r="AG285" s="3">
        <v>484</v>
      </c>
      <c r="AH285" s="3">
        <v>13</v>
      </c>
      <c r="AI285" s="3">
        <v>233</v>
      </c>
      <c r="AJ285" s="3">
        <v>16</v>
      </c>
    </row>
    <row r="286" spans="1:36" x14ac:dyDescent="0.25">
      <c r="A286" s="7">
        <v>3267</v>
      </c>
      <c r="B286" s="3" t="s">
        <v>5</v>
      </c>
      <c r="C286" s="3" t="s">
        <v>576</v>
      </c>
      <c r="D286" s="3"/>
      <c r="E286" s="3">
        <v>53.89</v>
      </c>
      <c r="F286" s="3">
        <v>0.3</v>
      </c>
      <c r="G286" s="3">
        <v>1.01</v>
      </c>
      <c r="H286" s="3">
        <v>0.06</v>
      </c>
      <c r="I286" s="3">
        <v>11.36</v>
      </c>
      <c r="J286" s="3">
        <v>0.1</v>
      </c>
      <c r="K286" s="3">
        <v>0.3</v>
      </c>
      <c r="L286" s="3">
        <v>0.03</v>
      </c>
      <c r="M286" s="3">
        <v>7.55</v>
      </c>
      <c r="N286" s="3">
        <v>0.03</v>
      </c>
      <c r="O286" s="3">
        <v>0.23</v>
      </c>
      <c r="P286" s="3">
        <v>0.01</v>
      </c>
      <c r="Q286" s="3">
        <v>6.13</v>
      </c>
      <c r="R286" s="3">
        <v>0.06</v>
      </c>
      <c r="S286" s="3">
        <v>4.5599999999999996</v>
      </c>
      <c r="T286" s="3">
        <v>0.03</v>
      </c>
      <c r="U286" s="3">
        <v>2.25</v>
      </c>
      <c r="V286" s="3">
        <v>0.16</v>
      </c>
      <c r="W286" s="3">
        <v>0.42</v>
      </c>
      <c r="X286" s="3">
        <v>0.06</v>
      </c>
      <c r="Y286" s="3">
        <v>1.23</v>
      </c>
      <c r="Z286" s="3">
        <v>7.0000000000000007E-2</v>
      </c>
      <c r="AA286" s="3">
        <v>7.88</v>
      </c>
      <c r="AB286" s="3">
        <v>7.0000000000000007E-2</v>
      </c>
      <c r="AC286" s="3">
        <v>2.95</v>
      </c>
      <c r="AD286" s="3">
        <v>0.03</v>
      </c>
      <c r="AE286" s="3">
        <v>670</v>
      </c>
      <c r="AF286" s="3">
        <v>36</v>
      </c>
      <c r="AG286" s="3">
        <v>413</v>
      </c>
      <c r="AH286" s="3">
        <v>9</v>
      </c>
      <c r="AI286" s="3">
        <v>142</v>
      </c>
      <c r="AJ286" s="3">
        <v>14</v>
      </c>
    </row>
    <row r="287" spans="1:36" x14ac:dyDescent="0.25">
      <c r="A287" s="7">
        <v>3298</v>
      </c>
      <c r="B287" s="3" t="s">
        <v>5</v>
      </c>
      <c r="C287" s="3" t="s">
        <v>577</v>
      </c>
      <c r="D287" s="3"/>
      <c r="E287" s="3">
        <v>55.47</v>
      </c>
      <c r="F287" s="3">
        <v>0.56000000000000005</v>
      </c>
      <c r="G287" s="3">
        <v>1.04</v>
      </c>
      <c r="H287" s="3">
        <v>0.08</v>
      </c>
      <c r="I287" s="3">
        <v>11.72</v>
      </c>
      <c r="J287" s="3">
        <v>0.19</v>
      </c>
      <c r="K287" s="3">
        <v>0.28000000000000003</v>
      </c>
      <c r="L287" s="3">
        <v>0.04</v>
      </c>
      <c r="M287" s="3">
        <v>6.93</v>
      </c>
      <c r="N287" s="3">
        <v>7.0000000000000007E-2</v>
      </c>
      <c r="O287" s="3">
        <v>0.23</v>
      </c>
      <c r="P287" s="3">
        <v>0.01</v>
      </c>
      <c r="Q287" s="3">
        <v>6.12</v>
      </c>
      <c r="R287" s="3">
        <v>0.14000000000000001</v>
      </c>
      <c r="S287" s="3">
        <v>3.93</v>
      </c>
      <c r="T287" s="3">
        <v>0.05</v>
      </c>
      <c r="U287" s="3">
        <v>2.2799999999999998</v>
      </c>
      <c r="V287" s="3">
        <v>0.28999999999999998</v>
      </c>
      <c r="W287" s="3">
        <v>0.39</v>
      </c>
      <c r="X287" s="3">
        <v>0.06</v>
      </c>
      <c r="Y287" s="3">
        <v>1.1499999999999999</v>
      </c>
      <c r="Z287" s="3">
        <v>0.09</v>
      </c>
      <c r="AA287" s="3">
        <v>7.28</v>
      </c>
      <c r="AB287" s="3">
        <v>0.12</v>
      </c>
      <c r="AC287" s="3">
        <v>2.97</v>
      </c>
      <c r="AD287" s="3">
        <v>0.05</v>
      </c>
      <c r="AE287" s="3">
        <v>728</v>
      </c>
      <c r="AF287" s="3">
        <v>55</v>
      </c>
      <c r="AG287" s="3">
        <v>361</v>
      </c>
      <c r="AH287" s="3">
        <v>19</v>
      </c>
      <c r="AI287" s="3">
        <v>144</v>
      </c>
      <c r="AJ287" s="3">
        <v>19</v>
      </c>
    </row>
    <row r="288" spans="1:36" x14ac:dyDescent="0.25">
      <c r="A288" s="7">
        <v>3301</v>
      </c>
      <c r="B288" s="3" t="s">
        <v>6</v>
      </c>
      <c r="C288" s="3" t="s">
        <v>578</v>
      </c>
      <c r="D288" s="3"/>
      <c r="E288" s="3">
        <v>61.04</v>
      </c>
      <c r="F288" s="3">
        <v>0.36</v>
      </c>
      <c r="G288" s="3">
        <v>0.95</v>
      </c>
      <c r="H288" s="3">
        <v>0.06</v>
      </c>
      <c r="I288" s="3">
        <v>14.61</v>
      </c>
      <c r="J288" s="3">
        <v>0.13</v>
      </c>
      <c r="K288" s="3">
        <v>0.34</v>
      </c>
      <c r="L288" s="3">
        <v>0.03</v>
      </c>
      <c r="M288" s="3">
        <v>4.6399999999999997</v>
      </c>
      <c r="N288" s="3">
        <v>0.03</v>
      </c>
      <c r="O288" s="3">
        <v>0.19</v>
      </c>
      <c r="P288" s="3">
        <v>0.01</v>
      </c>
      <c r="Q288" s="3">
        <v>4.79</v>
      </c>
      <c r="R288" s="3">
        <v>0.06</v>
      </c>
      <c r="S288" s="3">
        <v>2.4900000000000002</v>
      </c>
      <c r="T288" s="3">
        <v>0.02</v>
      </c>
      <c r="U288" s="3">
        <v>2.54</v>
      </c>
      <c r="V288" s="3">
        <v>0.16</v>
      </c>
      <c r="W288" s="3">
        <v>0.25</v>
      </c>
      <c r="X288" s="3">
        <v>0.05</v>
      </c>
      <c r="Y288" s="3">
        <v>1.19</v>
      </c>
      <c r="Z288" s="3">
        <v>7.0000000000000007E-2</v>
      </c>
      <c r="AA288" s="3">
        <v>3.98</v>
      </c>
      <c r="AB288" s="3">
        <v>0.05</v>
      </c>
      <c r="AC288" s="3">
        <v>2.8</v>
      </c>
      <c r="AD288" s="3">
        <v>0.03</v>
      </c>
      <c r="AE288" s="3">
        <v>633</v>
      </c>
      <c r="AF288" s="3">
        <v>38</v>
      </c>
      <c r="AG288" s="3">
        <v>253</v>
      </c>
      <c r="AH288" s="3">
        <v>9</v>
      </c>
      <c r="AI288" s="3">
        <v>58</v>
      </c>
      <c r="AJ288" s="3">
        <v>13</v>
      </c>
    </row>
    <row r="289" spans="1:36" x14ac:dyDescent="0.25">
      <c r="A289" s="7">
        <v>3305</v>
      </c>
      <c r="B289" s="3" t="s">
        <v>6</v>
      </c>
      <c r="C289" s="3" t="s">
        <v>579</v>
      </c>
      <c r="D289" s="3"/>
      <c r="E289" s="3">
        <v>62.45</v>
      </c>
      <c r="F289" s="3">
        <v>0.56000000000000005</v>
      </c>
      <c r="G289" s="3">
        <v>0.93</v>
      </c>
      <c r="H289" s="3">
        <v>7.0000000000000007E-2</v>
      </c>
      <c r="I289" s="3">
        <v>15.37</v>
      </c>
      <c r="J289" s="3">
        <v>0.21</v>
      </c>
      <c r="K289" s="3">
        <v>0.34</v>
      </c>
      <c r="L289" s="3">
        <v>0.03</v>
      </c>
      <c r="M289" s="3">
        <v>4.43</v>
      </c>
      <c r="N289" s="3">
        <v>0.04</v>
      </c>
      <c r="O289" s="3">
        <v>0.19</v>
      </c>
      <c r="P289" s="3">
        <v>0.01</v>
      </c>
      <c r="Q289" s="3">
        <v>4.7300000000000004</v>
      </c>
      <c r="R289" s="3">
        <v>0.12</v>
      </c>
      <c r="S289" s="3">
        <v>2.14</v>
      </c>
      <c r="T289" s="3">
        <v>0.02</v>
      </c>
      <c r="U289" s="3">
        <v>2.25</v>
      </c>
      <c r="V289" s="3">
        <v>0.23</v>
      </c>
      <c r="W289" s="3">
        <v>0.24</v>
      </c>
      <c r="X289" s="3">
        <v>0.06</v>
      </c>
      <c r="Y289" s="3">
        <v>1.1399999999999999</v>
      </c>
      <c r="Z289" s="3">
        <v>0.08</v>
      </c>
      <c r="AA289" s="3">
        <v>3.28</v>
      </c>
      <c r="AB289" s="3">
        <v>0.06</v>
      </c>
      <c r="AC289" s="3">
        <v>2.3199999999999998</v>
      </c>
      <c r="AD289" s="3">
        <v>0.03</v>
      </c>
      <c r="AE289" s="3">
        <v>622</v>
      </c>
      <c r="AF289" s="3">
        <v>40</v>
      </c>
      <c r="AG289" s="3">
        <v>238</v>
      </c>
      <c r="AH289" s="3">
        <v>10</v>
      </c>
      <c r="AI289" s="3">
        <v>35</v>
      </c>
      <c r="AJ289" s="3">
        <v>14</v>
      </c>
    </row>
    <row r="290" spans="1:36" x14ac:dyDescent="0.25">
      <c r="A290" s="7">
        <v>3332</v>
      </c>
      <c r="B290" s="3" t="s">
        <v>4</v>
      </c>
      <c r="C290" s="3" t="s">
        <v>580</v>
      </c>
      <c r="D290" s="3"/>
      <c r="E290" s="3">
        <v>47.15</v>
      </c>
      <c r="F290" s="3">
        <v>0.36</v>
      </c>
      <c r="G290" s="3">
        <v>1.07</v>
      </c>
      <c r="H290" s="3">
        <v>7.0000000000000007E-2</v>
      </c>
      <c r="I290" s="3">
        <v>8.56</v>
      </c>
      <c r="J290" s="3">
        <v>0.09</v>
      </c>
      <c r="K290" s="3">
        <v>0.3</v>
      </c>
      <c r="L290" s="3">
        <v>0.03</v>
      </c>
      <c r="M290" s="3">
        <v>21.11</v>
      </c>
      <c r="N290" s="3">
        <v>0.1</v>
      </c>
      <c r="O290" s="3">
        <v>0.18</v>
      </c>
      <c r="P290" s="3">
        <v>0.01</v>
      </c>
      <c r="Q290" s="3">
        <v>5.49</v>
      </c>
      <c r="R290" s="3">
        <v>7.0000000000000007E-2</v>
      </c>
      <c r="S290" s="3">
        <v>5.03</v>
      </c>
      <c r="T290" s="3">
        <v>0.04</v>
      </c>
      <c r="U290" s="3">
        <v>2.11</v>
      </c>
      <c r="V290" s="3">
        <v>0.18</v>
      </c>
      <c r="W290" s="3">
        <v>0.69</v>
      </c>
      <c r="X290" s="3">
        <v>0.06</v>
      </c>
      <c r="Y290" s="3">
        <v>0.89</v>
      </c>
      <c r="Z290" s="3">
        <v>7.0000000000000007E-2</v>
      </c>
      <c r="AA290" s="3">
        <v>6.3</v>
      </c>
      <c r="AB290" s="3">
        <v>7.0000000000000007E-2</v>
      </c>
      <c r="AC290" s="3">
        <v>0.98</v>
      </c>
      <c r="AD290" s="3">
        <v>0.02</v>
      </c>
      <c r="AE290" s="3">
        <v>427</v>
      </c>
      <c r="AF290" s="3">
        <v>45</v>
      </c>
      <c r="AG290" s="3">
        <v>514</v>
      </c>
      <c r="AH290" s="3">
        <v>17</v>
      </c>
      <c r="AI290" s="3">
        <v>268</v>
      </c>
      <c r="AJ290" s="3">
        <v>18</v>
      </c>
    </row>
    <row r="291" spans="1:36" x14ac:dyDescent="0.25">
      <c r="A291" s="7">
        <v>3352</v>
      </c>
      <c r="B291" s="3" t="s">
        <v>4</v>
      </c>
      <c r="C291" s="3" t="s">
        <v>581</v>
      </c>
      <c r="D291" s="3"/>
      <c r="E291" s="3">
        <v>40.68</v>
      </c>
      <c r="F291" s="3">
        <v>0.64</v>
      </c>
      <c r="G291" s="3">
        <v>0.82</v>
      </c>
      <c r="H291" s="3">
        <v>0.11</v>
      </c>
      <c r="I291" s="3">
        <v>7.58</v>
      </c>
      <c r="J291" s="3">
        <v>0.31</v>
      </c>
      <c r="K291" s="3">
        <v>0.27</v>
      </c>
      <c r="L291" s="3">
        <v>0.05</v>
      </c>
      <c r="M291" s="3">
        <v>20.87</v>
      </c>
      <c r="N291" s="3">
        <v>0.22</v>
      </c>
      <c r="O291" s="3">
        <v>0.27</v>
      </c>
      <c r="P291" s="3">
        <v>0.03</v>
      </c>
      <c r="Q291" s="3">
        <v>6.8</v>
      </c>
      <c r="R291" s="3">
        <v>0.28000000000000003</v>
      </c>
      <c r="S291" s="3">
        <v>6.54</v>
      </c>
      <c r="T291" s="3">
        <v>0.1</v>
      </c>
      <c r="U291" s="3">
        <v>1.83</v>
      </c>
      <c r="V291" s="3">
        <v>0.52</v>
      </c>
      <c r="W291" s="3">
        <v>0.54</v>
      </c>
      <c r="X291" s="3">
        <v>7.0000000000000007E-2</v>
      </c>
      <c r="Y291" s="3">
        <v>0.96</v>
      </c>
      <c r="Z291" s="3">
        <v>0.13</v>
      </c>
      <c r="AA291" s="3">
        <v>11.93</v>
      </c>
      <c r="AB291" s="3">
        <v>0.24</v>
      </c>
      <c r="AC291" s="3">
        <v>0.81</v>
      </c>
      <c r="AD291" s="3">
        <v>0.04</v>
      </c>
      <c r="AE291" s="3">
        <v>339</v>
      </c>
      <c r="AF291" s="3">
        <v>86</v>
      </c>
      <c r="AG291" s="3">
        <v>322</v>
      </c>
      <c r="AH291" s="3">
        <v>40</v>
      </c>
      <c r="AI291" s="3">
        <v>348</v>
      </c>
      <c r="AJ291" s="3">
        <v>35</v>
      </c>
    </row>
    <row r="292" spans="1:36" x14ac:dyDescent="0.25">
      <c r="A292" s="7">
        <v>3373</v>
      </c>
      <c r="B292" s="3" t="s">
        <v>3</v>
      </c>
      <c r="C292" s="3" t="s">
        <v>582</v>
      </c>
      <c r="D292" s="3"/>
      <c r="E292" s="3">
        <v>45.96</v>
      </c>
      <c r="F292" s="3">
        <v>0.5</v>
      </c>
      <c r="G292" s="3">
        <v>0.95</v>
      </c>
      <c r="H292" s="3">
        <v>0.08</v>
      </c>
      <c r="I292" s="3">
        <v>8.92</v>
      </c>
      <c r="J292" s="3">
        <v>0.15</v>
      </c>
      <c r="K292" s="3">
        <v>0.48</v>
      </c>
      <c r="L292" s="3">
        <v>0.04</v>
      </c>
      <c r="M292" s="3">
        <v>19.829999999999998</v>
      </c>
      <c r="N292" s="3">
        <v>0.17</v>
      </c>
      <c r="O292" s="3">
        <v>0.47</v>
      </c>
      <c r="P292" s="3">
        <v>0.02</v>
      </c>
      <c r="Q292" s="3">
        <v>7.29</v>
      </c>
      <c r="R292" s="3">
        <v>0.14000000000000001</v>
      </c>
      <c r="S292" s="3">
        <v>7.41</v>
      </c>
      <c r="T292" s="3">
        <v>0.08</v>
      </c>
      <c r="U292" s="3">
        <v>2.1</v>
      </c>
      <c r="V292" s="3">
        <v>0.26</v>
      </c>
      <c r="W292" s="3">
        <v>0.45</v>
      </c>
      <c r="X292" s="3">
        <v>7.0000000000000007E-2</v>
      </c>
      <c r="Y292" s="3">
        <v>0.81</v>
      </c>
      <c r="Z292" s="3">
        <v>0.09</v>
      </c>
      <c r="AA292" s="3">
        <v>4.6500000000000004</v>
      </c>
      <c r="AB292" s="3">
        <v>0.1</v>
      </c>
      <c r="AC292" s="3">
        <v>0.57999999999999996</v>
      </c>
      <c r="AD292" s="3">
        <v>0.02</v>
      </c>
      <c r="AE292" s="3">
        <v>388</v>
      </c>
      <c r="AF292" s="3">
        <v>66</v>
      </c>
      <c r="AG292" s="3">
        <v>262</v>
      </c>
      <c r="AH292" s="3">
        <v>26</v>
      </c>
      <c r="AI292" s="3">
        <v>23</v>
      </c>
      <c r="AJ292" s="3">
        <v>20</v>
      </c>
    </row>
    <row r="293" spans="1:36" x14ac:dyDescent="0.25">
      <c r="A293" s="7">
        <v>3378</v>
      </c>
      <c r="B293" s="3" t="s">
        <v>4</v>
      </c>
      <c r="C293" s="3" t="s">
        <v>583</v>
      </c>
      <c r="D293" s="3"/>
      <c r="E293" s="3">
        <v>38.43</v>
      </c>
      <c r="F293" s="3">
        <v>0.37</v>
      </c>
      <c r="G293" s="3">
        <v>0.81</v>
      </c>
      <c r="H293" s="3">
        <v>7.0000000000000007E-2</v>
      </c>
      <c r="I293" s="3">
        <v>6.81</v>
      </c>
      <c r="J293" s="3">
        <v>0.11</v>
      </c>
      <c r="K293" s="3">
        <v>0.2</v>
      </c>
      <c r="L293" s="3">
        <v>0.03</v>
      </c>
      <c r="M293" s="3">
        <v>16.02</v>
      </c>
      <c r="N293" s="3">
        <v>0.11</v>
      </c>
      <c r="O293" s="3">
        <v>0.25</v>
      </c>
      <c r="P293" s="3">
        <v>0.01</v>
      </c>
      <c r="Q293" s="3">
        <v>8.35</v>
      </c>
      <c r="R293" s="3">
        <v>0.14000000000000001</v>
      </c>
      <c r="S293" s="3">
        <v>4.66</v>
      </c>
      <c r="T293" s="3">
        <v>0.04</v>
      </c>
      <c r="U293" s="3">
        <v>1.81</v>
      </c>
      <c r="V293" s="3">
        <v>0.28999999999999998</v>
      </c>
      <c r="W293" s="3">
        <v>0.6</v>
      </c>
      <c r="X293" s="3">
        <v>0.06</v>
      </c>
      <c r="Y293" s="3">
        <v>1.03</v>
      </c>
      <c r="Z293" s="3">
        <v>0.09</v>
      </c>
      <c r="AA293" s="3">
        <v>19.72</v>
      </c>
      <c r="AB293" s="3">
        <v>0.19</v>
      </c>
      <c r="AC293" s="3">
        <v>1.18</v>
      </c>
      <c r="AD293" s="3">
        <v>0.02</v>
      </c>
      <c r="AE293" s="3">
        <v>677</v>
      </c>
      <c r="AF293" s="3">
        <v>49</v>
      </c>
      <c r="AG293" s="3">
        <v>275</v>
      </c>
      <c r="AH293" s="3">
        <v>14</v>
      </c>
      <c r="AI293" s="3">
        <v>46</v>
      </c>
      <c r="AJ293" s="3">
        <v>16</v>
      </c>
    </row>
    <row r="294" spans="1:36" x14ac:dyDescent="0.25">
      <c r="A294" s="7">
        <v>3380</v>
      </c>
      <c r="B294" s="3" t="s">
        <v>4</v>
      </c>
      <c r="C294" s="3" t="s">
        <v>584</v>
      </c>
      <c r="D294" s="3"/>
      <c r="E294" s="3">
        <v>39.32</v>
      </c>
      <c r="F294" s="3">
        <v>0.36</v>
      </c>
      <c r="G294" s="3">
        <v>0.84</v>
      </c>
      <c r="H294" s="3">
        <v>0.08</v>
      </c>
      <c r="I294" s="3">
        <v>7.16</v>
      </c>
      <c r="J294" s="3">
        <v>0.11</v>
      </c>
      <c r="K294" s="3">
        <v>0.22</v>
      </c>
      <c r="L294" s="3">
        <v>0.04</v>
      </c>
      <c r="M294" s="3">
        <v>16.54</v>
      </c>
      <c r="N294" s="3">
        <v>0.1</v>
      </c>
      <c r="O294" s="3">
        <v>0.3</v>
      </c>
      <c r="P294" s="3">
        <v>0.02</v>
      </c>
      <c r="Q294" s="3">
        <v>7.73</v>
      </c>
      <c r="R294" s="3">
        <v>0.12</v>
      </c>
      <c r="S294" s="3">
        <v>5.59</v>
      </c>
      <c r="T294" s="3">
        <v>7.0000000000000007E-2</v>
      </c>
      <c r="U294" s="3">
        <v>1.79</v>
      </c>
      <c r="V294" s="3">
        <v>0.25</v>
      </c>
      <c r="W294" s="3">
        <v>0.55000000000000004</v>
      </c>
      <c r="X294" s="3">
        <v>7.0000000000000007E-2</v>
      </c>
      <c r="Y294" s="3">
        <v>1.03</v>
      </c>
      <c r="Z294" s="3">
        <v>0.09</v>
      </c>
      <c r="AA294" s="3">
        <v>17.649999999999999</v>
      </c>
      <c r="AB294" s="3">
        <v>0.21</v>
      </c>
      <c r="AC294" s="3">
        <v>1.17</v>
      </c>
      <c r="AD294" s="3">
        <v>0.03</v>
      </c>
      <c r="AE294" s="3">
        <v>616</v>
      </c>
      <c r="AF294" s="3">
        <v>72</v>
      </c>
      <c r="AG294" s="3">
        <v>319</v>
      </c>
      <c r="AH294" s="3">
        <v>28</v>
      </c>
      <c r="AI294" s="3">
        <v>77</v>
      </c>
      <c r="AJ294" s="3">
        <v>20</v>
      </c>
    </row>
    <row r="295" spans="1:36" x14ac:dyDescent="0.25">
      <c r="A295" s="7">
        <v>3381</v>
      </c>
      <c r="B295" s="3" t="s">
        <v>4</v>
      </c>
      <c r="C295" s="3" t="s">
        <v>585</v>
      </c>
      <c r="D295" s="3"/>
      <c r="E295" s="3">
        <v>37.619999999999997</v>
      </c>
      <c r="F295" s="3">
        <v>0.51</v>
      </c>
      <c r="G295" s="3">
        <v>0.82</v>
      </c>
      <c r="H295" s="3">
        <v>0.09</v>
      </c>
      <c r="I295" s="3">
        <v>6.69</v>
      </c>
      <c r="J295" s="3">
        <v>0.24</v>
      </c>
      <c r="K295" s="3">
        <v>0.22</v>
      </c>
      <c r="L295" s="3">
        <v>0.04</v>
      </c>
      <c r="M295" s="3">
        <v>15.6</v>
      </c>
      <c r="N295" s="3">
        <v>0.16</v>
      </c>
      <c r="O295" s="3">
        <v>0.21</v>
      </c>
      <c r="P295" s="3">
        <v>0.02</v>
      </c>
      <c r="Q295" s="3">
        <v>7.96</v>
      </c>
      <c r="R295" s="3">
        <v>0.2</v>
      </c>
      <c r="S295" s="3">
        <v>6</v>
      </c>
      <c r="T295" s="3">
        <v>0.08</v>
      </c>
      <c r="U295" s="3">
        <v>1.96</v>
      </c>
      <c r="V295" s="3">
        <v>0.31</v>
      </c>
      <c r="W295" s="3">
        <v>0.53</v>
      </c>
      <c r="X295" s="3">
        <v>7.0000000000000007E-2</v>
      </c>
      <c r="Y295" s="3">
        <v>1</v>
      </c>
      <c r="Z295" s="3">
        <v>0.13</v>
      </c>
      <c r="AA295" s="3">
        <v>19.86</v>
      </c>
      <c r="AB295" s="3">
        <v>0.3</v>
      </c>
      <c r="AC295" s="3">
        <v>1.4</v>
      </c>
      <c r="AD295" s="3">
        <v>0.04</v>
      </c>
      <c r="AE295" s="3">
        <v>660</v>
      </c>
      <c r="AF295" s="3">
        <v>79</v>
      </c>
      <c r="AG295" s="3">
        <v>252</v>
      </c>
      <c r="AH295" s="3">
        <v>29</v>
      </c>
      <c r="AI295" s="3">
        <v>60</v>
      </c>
      <c r="AJ295" s="3">
        <v>20</v>
      </c>
    </row>
    <row r="296" spans="1:36" x14ac:dyDescent="0.25">
      <c r="A296" s="7">
        <v>3383</v>
      </c>
      <c r="B296" s="3" t="s">
        <v>6</v>
      </c>
      <c r="C296" s="3" t="s">
        <v>586</v>
      </c>
      <c r="D296" s="3"/>
      <c r="E296" s="3">
        <v>36.47</v>
      </c>
      <c r="F296" s="3">
        <v>0.44</v>
      </c>
      <c r="G296" s="3">
        <v>0.79</v>
      </c>
      <c r="H296" s="3">
        <v>0.08</v>
      </c>
      <c r="I296" s="3">
        <v>5.95</v>
      </c>
      <c r="J296" s="3">
        <v>0.13</v>
      </c>
      <c r="K296" s="3">
        <v>0.18</v>
      </c>
      <c r="L296" s="3">
        <v>0.04</v>
      </c>
      <c r="M296" s="3">
        <v>16.45</v>
      </c>
      <c r="N296" s="3">
        <v>0.16</v>
      </c>
      <c r="O296" s="3">
        <v>0.23</v>
      </c>
      <c r="P296" s="3">
        <v>0.02</v>
      </c>
      <c r="Q296" s="3">
        <v>8.15</v>
      </c>
      <c r="R296" s="3">
        <v>0.15</v>
      </c>
      <c r="S296" s="3">
        <v>4.28</v>
      </c>
      <c r="T296" s="3">
        <v>0.06</v>
      </c>
      <c r="U296" s="3">
        <v>1.78</v>
      </c>
      <c r="V296" s="3">
        <v>0.26</v>
      </c>
      <c r="W296" s="3">
        <v>0.64</v>
      </c>
      <c r="X296" s="3">
        <v>7.0000000000000007E-2</v>
      </c>
      <c r="Y296" s="3">
        <v>1.02</v>
      </c>
      <c r="Z296" s="3">
        <v>0.11</v>
      </c>
      <c r="AA296" s="3">
        <v>22.36</v>
      </c>
      <c r="AB296" s="3">
        <v>0.3</v>
      </c>
      <c r="AC296" s="3">
        <v>1.6</v>
      </c>
      <c r="AD296" s="3">
        <v>0.04</v>
      </c>
      <c r="AE296" s="3">
        <v>612</v>
      </c>
      <c r="AF296" s="3">
        <v>74</v>
      </c>
      <c r="AG296" s="3">
        <v>294</v>
      </c>
      <c r="AH296" s="3">
        <v>28</v>
      </c>
      <c r="AI296" s="3">
        <v>40</v>
      </c>
      <c r="AJ296" s="3">
        <v>19</v>
      </c>
    </row>
    <row r="297" spans="1:36" x14ac:dyDescent="0.25">
      <c r="A297" s="7">
        <v>3390</v>
      </c>
      <c r="B297" s="3" t="s">
        <v>4</v>
      </c>
      <c r="C297" s="3" t="s">
        <v>587</v>
      </c>
      <c r="D297" s="3"/>
      <c r="E297" s="3">
        <v>40.619999999999997</v>
      </c>
      <c r="F297" s="3">
        <v>0.45</v>
      </c>
      <c r="G297" s="3">
        <v>0.85</v>
      </c>
      <c r="H297" s="3">
        <v>0.08</v>
      </c>
      <c r="I297" s="3">
        <v>7.5</v>
      </c>
      <c r="J297" s="3">
        <v>0.14000000000000001</v>
      </c>
      <c r="K297" s="3">
        <v>0.2</v>
      </c>
      <c r="L297" s="3">
        <v>0.04</v>
      </c>
      <c r="M297" s="3">
        <v>16.77</v>
      </c>
      <c r="N297" s="3">
        <v>0.15</v>
      </c>
      <c r="O297" s="3">
        <v>0.28999999999999998</v>
      </c>
      <c r="P297" s="3">
        <v>0.02</v>
      </c>
      <c r="Q297" s="3">
        <v>7.14</v>
      </c>
      <c r="R297" s="3">
        <v>0.13</v>
      </c>
      <c r="S297" s="3">
        <v>6.16</v>
      </c>
      <c r="T297" s="3">
        <v>7.0000000000000007E-2</v>
      </c>
      <c r="U297" s="3">
        <v>2.0699999999999998</v>
      </c>
      <c r="V297" s="3">
        <v>0.25</v>
      </c>
      <c r="W297" s="3">
        <v>0.56999999999999995</v>
      </c>
      <c r="X297" s="3">
        <v>7.0000000000000007E-2</v>
      </c>
      <c r="Y297" s="3">
        <v>1.04</v>
      </c>
      <c r="Z297" s="3">
        <v>0.1</v>
      </c>
      <c r="AA297" s="3">
        <v>15.53</v>
      </c>
      <c r="AB297" s="3">
        <v>0.21</v>
      </c>
      <c r="AC297" s="3">
        <v>1.05</v>
      </c>
      <c r="AD297" s="3">
        <v>0.03</v>
      </c>
      <c r="AE297" s="3">
        <v>545</v>
      </c>
      <c r="AF297" s="3">
        <v>66</v>
      </c>
      <c r="AG297" s="3">
        <v>538</v>
      </c>
      <c r="AH297" s="3">
        <v>30</v>
      </c>
      <c r="AI297" s="3">
        <v>632</v>
      </c>
      <c r="AJ297" s="3">
        <v>29</v>
      </c>
    </row>
    <row r="298" spans="1:36" x14ac:dyDescent="0.25">
      <c r="A298" s="7">
        <v>3392</v>
      </c>
      <c r="B298" s="3" t="s">
        <v>4</v>
      </c>
      <c r="C298" s="3" t="s">
        <v>588</v>
      </c>
      <c r="D298" s="3"/>
      <c r="E298" s="3">
        <v>48.17</v>
      </c>
      <c r="F298" s="3">
        <v>0.46</v>
      </c>
      <c r="G298" s="3">
        <v>1.08</v>
      </c>
      <c r="H298" s="3">
        <v>0.09</v>
      </c>
      <c r="I298" s="3">
        <v>12.47</v>
      </c>
      <c r="J298" s="3">
        <v>0.15</v>
      </c>
      <c r="K298" s="3">
        <v>0.11</v>
      </c>
      <c r="L298" s="3">
        <v>0.03</v>
      </c>
      <c r="M298" s="3">
        <v>14</v>
      </c>
      <c r="N298" s="3">
        <v>0.11</v>
      </c>
      <c r="O298" s="3">
        <v>1</v>
      </c>
      <c r="P298" s="3">
        <v>0.02</v>
      </c>
      <c r="Q298" s="3">
        <v>5.65</v>
      </c>
      <c r="R298" s="3">
        <v>0.11</v>
      </c>
      <c r="S298" s="3">
        <v>7.16</v>
      </c>
      <c r="T298" s="3">
        <v>0.06</v>
      </c>
      <c r="U298" s="3">
        <v>2.89</v>
      </c>
      <c r="V298" s="3">
        <v>0.23</v>
      </c>
      <c r="W298" s="3">
        <v>0.56999999999999995</v>
      </c>
      <c r="X298" s="3">
        <v>0.06</v>
      </c>
      <c r="Y298" s="3">
        <v>1.21</v>
      </c>
      <c r="Z298" s="3">
        <v>0.08</v>
      </c>
      <c r="AA298" s="3">
        <v>4.49</v>
      </c>
      <c r="AB298" s="3">
        <v>0.08</v>
      </c>
      <c r="AC298" s="3">
        <v>0.98</v>
      </c>
      <c r="AD298" s="3">
        <v>0.02</v>
      </c>
      <c r="AE298" s="3">
        <v>913</v>
      </c>
      <c r="AF298" s="3">
        <v>58</v>
      </c>
      <c r="AG298" s="3">
        <v>696</v>
      </c>
      <c r="AH298" s="3">
        <v>24</v>
      </c>
      <c r="AI298" s="3">
        <v>51</v>
      </c>
      <c r="AJ298" s="3">
        <v>17</v>
      </c>
    </row>
    <row r="299" spans="1:36" x14ac:dyDescent="0.25">
      <c r="A299" s="7">
        <v>3396</v>
      </c>
      <c r="B299" s="3" t="s">
        <v>4</v>
      </c>
      <c r="C299" s="3" t="s">
        <v>589</v>
      </c>
      <c r="D299" s="3"/>
      <c r="E299" s="3">
        <v>49.8</v>
      </c>
      <c r="F299" s="3">
        <v>0.5</v>
      </c>
      <c r="G299" s="3">
        <v>1.17</v>
      </c>
      <c r="H299" s="3">
        <v>0.08</v>
      </c>
      <c r="I299" s="3">
        <v>13.97</v>
      </c>
      <c r="J299" s="3">
        <v>0.18</v>
      </c>
      <c r="K299" s="3">
        <v>0.1</v>
      </c>
      <c r="L299" s="3">
        <v>0.03</v>
      </c>
      <c r="M299" s="3">
        <v>13.17</v>
      </c>
      <c r="N299" s="3">
        <v>0.12</v>
      </c>
      <c r="O299" s="3">
        <v>1.2</v>
      </c>
      <c r="P299" s="3">
        <v>0.02</v>
      </c>
      <c r="Q299" s="3">
        <v>4.9000000000000004</v>
      </c>
      <c r="R299" s="3">
        <v>0.11</v>
      </c>
      <c r="S299" s="3">
        <v>7.29</v>
      </c>
      <c r="T299" s="3">
        <v>7.0000000000000007E-2</v>
      </c>
      <c r="U299" s="3">
        <v>3.1</v>
      </c>
      <c r="V299" s="3">
        <v>0.24</v>
      </c>
      <c r="W299" s="3">
        <v>0.49</v>
      </c>
      <c r="X299" s="3">
        <v>0.06</v>
      </c>
      <c r="Y299" s="3">
        <v>1.27</v>
      </c>
      <c r="Z299" s="3">
        <v>0.09</v>
      </c>
      <c r="AA299" s="3">
        <v>2.67</v>
      </c>
      <c r="AB299" s="3">
        <v>0.06</v>
      </c>
      <c r="AC299" s="3">
        <v>0.67</v>
      </c>
      <c r="AD299" s="3">
        <v>0.02</v>
      </c>
      <c r="AE299" s="3">
        <v>985</v>
      </c>
      <c r="AF299" s="3">
        <v>66</v>
      </c>
      <c r="AG299" s="3">
        <v>670</v>
      </c>
      <c r="AH299" s="3">
        <v>27</v>
      </c>
      <c r="AI299" s="3">
        <v>40</v>
      </c>
      <c r="AJ299" s="3">
        <v>18</v>
      </c>
    </row>
    <row r="300" spans="1:36" x14ac:dyDescent="0.25">
      <c r="A300" s="7">
        <v>3403</v>
      </c>
      <c r="B300" s="3" t="s">
        <v>5</v>
      </c>
      <c r="C300" s="3" t="s">
        <v>590</v>
      </c>
      <c r="D300" s="3"/>
      <c r="E300" s="3">
        <v>46.2</v>
      </c>
      <c r="F300" s="3">
        <v>0.5</v>
      </c>
      <c r="G300" s="3">
        <v>1.05</v>
      </c>
      <c r="H300" s="3">
        <v>0.08</v>
      </c>
      <c r="I300" s="3">
        <v>8.2200000000000006</v>
      </c>
      <c r="J300" s="3">
        <v>0.13</v>
      </c>
      <c r="K300" s="3">
        <v>0.27</v>
      </c>
      <c r="L300" s="3">
        <v>0.04</v>
      </c>
      <c r="M300" s="3">
        <v>19.52</v>
      </c>
      <c r="N300" s="3">
        <v>0.17</v>
      </c>
      <c r="O300" s="3">
        <v>0.18</v>
      </c>
      <c r="P300" s="3">
        <v>0.02</v>
      </c>
      <c r="Q300" s="3">
        <v>4.43</v>
      </c>
      <c r="R300" s="3">
        <v>0.11</v>
      </c>
      <c r="S300" s="3">
        <v>5.91</v>
      </c>
      <c r="T300" s="3">
        <v>7.0000000000000007E-2</v>
      </c>
      <c r="U300" s="3">
        <v>2.13</v>
      </c>
      <c r="V300" s="3">
        <v>0.24</v>
      </c>
      <c r="W300" s="3">
        <v>0.78</v>
      </c>
      <c r="X300" s="3">
        <v>7.0000000000000007E-2</v>
      </c>
      <c r="Y300" s="3">
        <v>1</v>
      </c>
      <c r="Z300" s="3">
        <v>0.09</v>
      </c>
      <c r="AA300" s="3">
        <v>8.65</v>
      </c>
      <c r="AB300" s="3">
        <v>0.14000000000000001</v>
      </c>
      <c r="AC300" s="3">
        <v>1.44</v>
      </c>
      <c r="AD300" s="3">
        <v>0.03</v>
      </c>
      <c r="AE300" s="3">
        <v>368</v>
      </c>
      <c r="AF300" s="3">
        <v>63</v>
      </c>
      <c r="AG300" s="3">
        <v>764</v>
      </c>
      <c r="AH300" s="3">
        <v>35</v>
      </c>
      <c r="AI300" s="3">
        <v>1004</v>
      </c>
      <c r="AJ300" s="3">
        <v>36</v>
      </c>
    </row>
    <row r="301" spans="1:36" x14ac:dyDescent="0.25">
      <c r="A301" s="7">
        <v>3415</v>
      </c>
      <c r="B301" s="3" t="s">
        <v>4</v>
      </c>
      <c r="C301" s="3" t="s">
        <v>591</v>
      </c>
      <c r="D301" s="3"/>
      <c r="E301" s="3">
        <v>44.48</v>
      </c>
      <c r="F301" s="3">
        <v>0.41</v>
      </c>
      <c r="G301" s="3">
        <v>0.91</v>
      </c>
      <c r="H301" s="3">
        <v>7.0000000000000007E-2</v>
      </c>
      <c r="I301" s="3">
        <v>8.85</v>
      </c>
      <c r="J301" s="3">
        <v>0.11</v>
      </c>
      <c r="K301" s="3">
        <v>0.33</v>
      </c>
      <c r="L301" s="3">
        <v>0.03</v>
      </c>
      <c r="M301" s="3">
        <v>18.559999999999999</v>
      </c>
      <c r="N301" s="3">
        <v>0.12</v>
      </c>
      <c r="O301" s="3">
        <v>0.35</v>
      </c>
      <c r="P301" s="3">
        <v>0.01</v>
      </c>
      <c r="Q301" s="3">
        <v>6.84</v>
      </c>
      <c r="R301" s="3">
        <v>0.09</v>
      </c>
      <c r="S301" s="3">
        <v>7.12</v>
      </c>
      <c r="T301" s="3">
        <v>0.05</v>
      </c>
      <c r="U301" s="3">
        <v>2.12</v>
      </c>
      <c r="V301" s="3">
        <v>0.19</v>
      </c>
      <c r="W301" s="3">
        <v>0.52</v>
      </c>
      <c r="X301" s="3">
        <v>0.06</v>
      </c>
      <c r="Y301" s="3">
        <v>0.95</v>
      </c>
      <c r="Z301" s="3">
        <v>0.08</v>
      </c>
      <c r="AA301" s="3">
        <v>8.0500000000000007</v>
      </c>
      <c r="AB301" s="3">
        <v>0.1</v>
      </c>
      <c r="AC301" s="3">
        <v>0.79</v>
      </c>
      <c r="AD301" s="3">
        <v>0.02</v>
      </c>
      <c r="AE301" s="3">
        <v>378</v>
      </c>
      <c r="AF301" s="3">
        <v>46</v>
      </c>
      <c r="AG301" s="3">
        <v>431</v>
      </c>
      <c r="AH301" s="3">
        <v>17</v>
      </c>
      <c r="AI301" s="3">
        <v>222</v>
      </c>
      <c r="AJ301" s="3">
        <v>18</v>
      </c>
    </row>
    <row r="302" spans="1:36" x14ac:dyDescent="0.25">
      <c r="A302" s="7">
        <v>3422</v>
      </c>
      <c r="B302" s="3" t="s">
        <v>4</v>
      </c>
      <c r="C302" s="3" t="s">
        <v>592</v>
      </c>
      <c r="D302" s="3"/>
      <c r="E302" s="3">
        <v>47.91</v>
      </c>
      <c r="F302" s="3">
        <v>0.36</v>
      </c>
      <c r="G302" s="3">
        <v>1.04</v>
      </c>
      <c r="H302" s="3">
        <v>0.08</v>
      </c>
      <c r="I302" s="3">
        <v>8.7899999999999991</v>
      </c>
      <c r="J302" s="3">
        <v>0.11</v>
      </c>
      <c r="K302" s="3">
        <v>0.26</v>
      </c>
      <c r="L302" s="3">
        <v>0.04</v>
      </c>
      <c r="M302" s="3">
        <v>20.94</v>
      </c>
      <c r="N302" s="3">
        <v>0.11</v>
      </c>
      <c r="O302" s="3">
        <v>0.27</v>
      </c>
      <c r="P302" s="3">
        <v>0.01</v>
      </c>
      <c r="Q302" s="3">
        <v>4.24</v>
      </c>
      <c r="R302" s="3">
        <v>0.08</v>
      </c>
      <c r="S302" s="3">
        <v>4.58</v>
      </c>
      <c r="T302" s="3">
        <v>0.05</v>
      </c>
      <c r="U302" s="3">
        <v>2.09</v>
      </c>
      <c r="V302" s="3">
        <v>0.2</v>
      </c>
      <c r="W302" s="3">
        <v>0.83</v>
      </c>
      <c r="X302" s="3">
        <v>7.0000000000000007E-2</v>
      </c>
      <c r="Y302" s="3">
        <v>1.05</v>
      </c>
      <c r="Z302" s="3">
        <v>0.08</v>
      </c>
      <c r="AA302" s="3">
        <v>6.28</v>
      </c>
      <c r="AB302" s="3">
        <v>0.1</v>
      </c>
      <c r="AC302" s="3">
        <v>1.56</v>
      </c>
      <c r="AD302" s="3">
        <v>0.03</v>
      </c>
      <c r="AE302" s="3">
        <v>268</v>
      </c>
      <c r="AF302" s="3">
        <v>59</v>
      </c>
      <c r="AG302" s="3">
        <v>877</v>
      </c>
      <c r="AH302" s="3">
        <v>35</v>
      </c>
      <c r="AI302" s="3">
        <v>444</v>
      </c>
      <c r="AJ302" s="3">
        <v>26</v>
      </c>
    </row>
    <row r="303" spans="1:36" x14ac:dyDescent="0.25">
      <c r="A303" s="7">
        <v>3423</v>
      </c>
      <c r="B303" s="3" t="s">
        <v>4</v>
      </c>
      <c r="C303" s="3" t="s">
        <v>593</v>
      </c>
      <c r="D303" s="3"/>
      <c r="E303" s="3">
        <v>48.03</v>
      </c>
      <c r="F303" s="3">
        <v>0.48</v>
      </c>
      <c r="G303" s="3">
        <v>1.06</v>
      </c>
      <c r="H303" s="3">
        <v>0.08</v>
      </c>
      <c r="I303" s="3">
        <v>9.02</v>
      </c>
      <c r="J303" s="3">
        <v>0.12</v>
      </c>
      <c r="K303" s="3">
        <v>0.26</v>
      </c>
      <c r="L303" s="3">
        <v>0.04</v>
      </c>
      <c r="M303" s="3">
        <v>20.76</v>
      </c>
      <c r="N303" s="3">
        <v>0.15</v>
      </c>
      <c r="O303" s="3">
        <v>0.57999999999999996</v>
      </c>
      <c r="P303" s="3">
        <v>0.02</v>
      </c>
      <c r="Q303" s="3">
        <v>4.29</v>
      </c>
      <c r="R303" s="3">
        <v>0.09</v>
      </c>
      <c r="S303" s="3">
        <v>4.47</v>
      </c>
      <c r="T303" s="3">
        <v>0.05</v>
      </c>
      <c r="U303" s="3">
        <v>2.1</v>
      </c>
      <c r="V303" s="3">
        <v>0.21</v>
      </c>
      <c r="W303" s="3">
        <v>0.81</v>
      </c>
      <c r="X303" s="3">
        <v>7.0000000000000007E-2</v>
      </c>
      <c r="Y303" s="3">
        <v>0.98</v>
      </c>
      <c r="Z303" s="3">
        <v>0.08</v>
      </c>
      <c r="AA303" s="3">
        <v>5.86</v>
      </c>
      <c r="AB303" s="3">
        <v>0.1</v>
      </c>
      <c r="AC303" s="3">
        <v>1.58</v>
      </c>
      <c r="AD303" s="3">
        <v>0.03</v>
      </c>
      <c r="AE303" s="3">
        <v>412</v>
      </c>
      <c r="AF303" s="3">
        <v>56</v>
      </c>
      <c r="AG303" s="3">
        <v>995</v>
      </c>
      <c r="AH303" s="3">
        <v>32</v>
      </c>
      <c r="AI303" s="3">
        <v>352</v>
      </c>
      <c r="AJ303" s="3">
        <v>23</v>
      </c>
    </row>
    <row r="304" spans="1:36" x14ac:dyDescent="0.25">
      <c r="A304" s="7">
        <v>3427</v>
      </c>
      <c r="B304" s="3" t="s">
        <v>4</v>
      </c>
      <c r="C304" s="3" t="s">
        <v>594</v>
      </c>
      <c r="D304" s="3"/>
      <c r="E304" s="3">
        <v>42.57</v>
      </c>
      <c r="F304" s="3">
        <v>0.36</v>
      </c>
      <c r="G304" s="3">
        <v>0.9</v>
      </c>
      <c r="H304" s="3">
        <v>7.0000000000000007E-2</v>
      </c>
      <c r="I304" s="3">
        <v>7.6</v>
      </c>
      <c r="J304" s="3">
        <v>0.1</v>
      </c>
      <c r="K304" s="3">
        <v>0.22</v>
      </c>
      <c r="L304" s="3">
        <v>0.03</v>
      </c>
      <c r="M304" s="3">
        <v>17.43</v>
      </c>
      <c r="N304" s="3">
        <v>0.1</v>
      </c>
      <c r="O304" s="3">
        <v>0.21</v>
      </c>
      <c r="P304" s="3">
        <v>0.01</v>
      </c>
      <c r="Q304" s="3">
        <v>4.87</v>
      </c>
      <c r="R304" s="3">
        <v>0.08</v>
      </c>
      <c r="S304" s="3">
        <v>7.62</v>
      </c>
      <c r="T304" s="3">
        <v>0.06</v>
      </c>
      <c r="U304" s="3">
        <v>2.0099999999999998</v>
      </c>
      <c r="V304" s="3">
        <v>0.19</v>
      </c>
      <c r="W304" s="3">
        <v>0.6</v>
      </c>
      <c r="X304" s="3">
        <v>0.06</v>
      </c>
      <c r="Y304" s="3">
        <v>1.08</v>
      </c>
      <c r="Z304" s="3">
        <v>0.08</v>
      </c>
      <c r="AA304" s="3">
        <v>13.06</v>
      </c>
      <c r="AB304" s="3">
        <v>0.13</v>
      </c>
      <c r="AC304" s="3">
        <v>1.68</v>
      </c>
      <c r="AD304" s="3">
        <v>0.03</v>
      </c>
      <c r="AE304" s="3">
        <v>134</v>
      </c>
      <c r="AF304" s="3">
        <v>43</v>
      </c>
      <c r="AG304" s="3">
        <v>800</v>
      </c>
      <c r="AH304" s="3">
        <v>23</v>
      </c>
      <c r="AI304" s="3">
        <v>685</v>
      </c>
      <c r="AJ304" s="3">
        <v>24</v>
      </c>
    </row>
    <row r="305" spans="1:36" x14ac:dyDescent="0.25">
      <c r="A305" s="7">
        <v>3434</v>
      </c>
      <c r="B305" s="3" t="s">
        <v>5</v>
      </c>
      <c r="C305" s="3" t="s">
        <v>595</v>
      </c>
      <c r="D305" s="3"/>
      <c r="E305" s="3">
        <v>45.47</v>
      </c>
      <c r="F305" s="3">
        <v>0.5</v>
      </c>
      <c r="G305" s="3">
        <v>0.96</v>
      </c>
      <c r="H305" s="3">
        <v>0.09</v>
      </c>
      <c r="I305" s="3">
        <v>8.5299999999999994</v>
      </c>
      <c r="J305" s="3">
        <v>0.14000000000000001</v>
      </c>
      <c r="K305" s="3">
        <v>0.25</v>
      </c>
      <c r="L305" s="3">
        <v>0.04</v>
      </c>
      <c r="M305" s="3">
        <v>18.46</v>
      </c>
      <c r="N305" s="3">
        <v>0.16</v>
      </c>
      <c r="O305" s="3">
        <v>0.24</v>
      </c>
      <c r="P305" s="3">
        <v>0.02</v>
      </c>
      <c r="Q305" s="3">
        <v>4.37</v>
      </c>
      <c r="R305" s="3">
        <v>0.11</v>
      </c>
      <c r="S305" s="3">
        <v>6.3</v>
      </c>
      <c r="T305" s="3">
        <v>7.0000000000000007E-2</v>
      </c>
      <c r="U305" s="3">
        <v>2.2200000000000002</v>
      </c>
      <c r="V305" s="3">
        <v>0.24</v>
      </c>
      <c r="W305" s="3">
        <v>0.79</v>
      </c>
      <c r="X305" s="3">
        <v>7.0000000000000007E-2</v>
      </c>
      <c r="Y305" s="3">
        <v>1.06</v>
      </c>
      <c r="Z305" s="3">
        <v>0.09</v>
      </c>
      <c r="AA305" s="3">
        <v>9.5500000000000007</v>
      </c>
      <c r="AB305" s="3">
        <v>0.15</v>
      </c>
      <c r="AC305" s="3">
        <v>1.7</v>
      </c>
      <c r="AD305" s="3">
        <v>0.04</v>
      </c>
      <c r="AE305" s="3">
        <v>196</v>
      </c>
      <c r="AF305" s="3">
        <v>58</v>
      </c>
      <c r="AG305" s="3">
        <v>553</v>
      </c>
      <c r="AH305" s="3">
        <v>30</v>
      </c>
      <c r="AI305" s="3">
        <v>293</v>
      </c>
      <c r="AJ305" s="3">
        <v>25</v>
      </c>
    </row>
    <row r="306" spans="1:36" x14ac:dyDescent="0.25">
      <c r="A306" s="7">
        <v>3445</v>
      </c>
      <c r="B306" s="3" t="s">
        <v>5</v>
      </c>
      <c r="C306" s="3" t="s">
        <v>596</v>
      </c>
      <c r="D306" s="3"/>
      <c r="E306" s="3">
        <v>39.450000000000003</v>
      </c>
      <c r="F306" s="3">
        <v>0.4</v>
      </c>
      <c r="G306" s="3">
        <v>0.82</v>
      </c>
      <c r="H306" s="3">
        <v>7.0000000000000007E-2</v>
      </c>
      <c r="I306" s="3">
        <v>6.71</v>
      </c>
      <c r="J306" s="3">
        <v>0.16</v>
      </c>
      <c r="K306" s="3">
        <v>0.21</v>
      </c>
      <c r="L306" s="3">
        <v>0.03</v>
      </c>
      <c r="M306" s="3">
        <v>16.93</v>
      </c>
      <c r="N306" s="3">
        <v>0.12</v>
      </c>
      <c r="O306" s="3">
        <v>0.15</v>
      </c>
      <c r="P306" s="3">
        <v>0.01</v>
      </c>
      <c r="Q306" s="3">
        <v>5.52</v>
      </c>
      <c r="R306" s="3">
        <v>0.11</v>
      </c>
      <c r="S306" s="3">
        <v>7.46</v>
      </c>
      <c r="T306" s="3">
        <v>0.06</v>
      </c>
      <c r="U306" s="3">
        <v>1.54</v>
      </c>
      <c r="V306" s="3">
        <v>0.22</v>
      </c>
      <c r="W306" s="3">
        <v>0.49</v>
      </c>
      <c r="X306" s="3">
        <v>0.06</v>
      </c>
      <c r="Y306" s="3">
        <v>1.06</v>
      </c>
      <c r="Z306" s="3">
        <v>0.1</v>
      </c>
      <c r="AA306" s="3">
        <v>18.77</v>
      </c>
      <c r="AB306" s="3">
        <v>0.2</v>
      </c>
      <c r="AC306" s="3">
        <v>0.84</v>
      </c>
      <c r="AD306" s="3">
        <v>0.02</v>
      </c>
      <c r="AE306" s="3">
        <v>275</v>
      </c>
      <c r="AF306" s="3">
        <v>48</v>
      </c>
      <c r="AG306" s="3">
        <v>330</v>
      </c>
      <c r="AH306" s="3">
        <v>18</v>
      </c>
      <c r="AI306" s="3">
        <v>65</v>
      </c>
      <c r="AJ306" s="3">
        <v>16</v>
      </c>
    </row>
    <row r="307" spans="1:36" x14ac:dyDescent="0.25">
      <c r="A307" s="7">
        <v>3463</v>
      </c>
      <c r="B307" s="3" t="s">
        <v>5</v>
      </c>
      <c r="C307" s="3" t="s">
        <v>597</v>
      </c>
      <c r="D307" s="3"/>
      <c r="E307" s="3">
        <v>45.68</v>
      </c>
      <c r="F307" s="3">
        <v>0.47</v>
      </c>
      <c r="G307" s="3">
        <v>1.04</v>
      </c>
      <c r="H307" s="3">
        <v>0.08</v>
      </c>
      <c r="I307" s="3">
        <v>8.76</v>
      </c>
      <c r="J307" s="3">
        <v>0.14000000000000001</v>
      </c>
      <c r="K307" s="3">
        <v>0.22</v>
      </c>
      <c r="L307" s="3">
        <v>0.04</v>
      </c>
      <c r="M307" s="3">
        <v>17.63</v>
      </c>
      <c r="N307" s="3">
        <v>0.14000000000000001</v>
      </c>
      <c r="O307" s="3">
        <v>0.78</v>
      </c>
      <c r="P307" s="3">
        <v>0.02</v>
      </c>
      <c r="Q307" s="3">
        <v>8.85</v>
      </c>
      <c r="R307" s="3">
        <v>0.13</v>
      </c>
      <c r="S307" s="3">
        <v>6.18</v>
      </c>
      <c r="T307" s="3">
        <v>0.06</v>
      </c>
      <c r="U307" s="3">
        <v>2.3199999999999998</v>
      </c>
      <c r="V307" s="3">
        <v>0.22</v>
      </c>
      <c r="W307" s="3">
        <v>0.7</v>
      </c>
      <c r="X307" s="3">
        <v>7.0000000000000007E-2</v>
      </c>
      <c r="Y307" s="3">
        <v>1.18</v>
      </c>
      <c r="Z307" s="3">
        <v>0.09</v>
      </c>
      <c r="AA307" s="3">
        <v>5.52</v>
      </c>
      <c r="AB307" s="3">
        <v>0.1</v>
      </c>
      <c r="AC307" s="3">
        <v>0.95</v>
      </c>
      <c r="AD307" s="3">
        <v>0.02</v>
      </c>
      <c r="AE307" s="3">
        <v>537</v>
      </c>
      <c r="AF307" s="3">
        <v>59</v>
      </c>
      <c r="AG307" s="3">
        <v>460</v>
      </c>
      <c r="AH307" s="3">
        <v>24</v>
      </c>
      <c r="AI307" s="3">
        <v>706</v>
      </c>
      <c r="AJ307" s="3">
        <v>29</v>
      </c>
    </row>
    <row r="308" spans="1:36" x14ac:dyDescent="0.25">
      <c r="A308" s="7">
        <v>3468</v>
      </c>
      <c r="B308" s="3" t="s">
        <v>4</v>
      </c>
      <c r="C308" s="3" t="s">
        <v>598</v>
      </c>
      <c r="D308" s="3"/>
      <c r="E308" s="3">
        <v>46.11</v>
      </c>
      <c r="F308" s="3">
        <v>0.5</v>
      </c>
      <c r="G308" s="3">
        <v>1.0900000000000001</v>
      </c>
      <c r="H308" s="3">
        <v>0.08</v>
      </c>
      <c r="I308" s="3">
        <v>9.51</v>
      </c>
      <c r="J308" s="3">
        <v>0.21</v>
      </c>
      <c r="K308" s="3">
        <v>0.28000000000000003</v>
      </c>
      <c r="L308" s="3">
        <v>0.04</v>
      </c>
      <c r="M308" s="3">
        <v>16.79</v>
      </c>
      <c r="N308" s="3">
        <v>0.14000000000000001</v>
      </c>
      <c r="O308" s="3">
        <v>0.35</v>
      </c>
      <c r="P308" s="3">
        <v>0.02</v>
      </c>
      <c r="Q308" s="3">
        <v>7.38</v>
      </c>
      <c r="R308" s="3">
        <v>0.15</v>
      </c>
      <c r="S308" s="3">
        <v>6.68</v>
      </c>
      <c r="T308" s="3">
        <v>7.0000000000000007E-2</v>
      </c>
      <c r="U308" s="3">
        <v>2.38</v>
      </c>
      <c r="V308" s="3">
        <v>0.26</v>
      </c>
      <c r="W308" s="3">
        <v>0.44</v>
      </c>
      <c r="X308" s="3">
        <v>0.06</v>
      </c>
      <c r="Y308" s="3">
        <v>1.03</v>
      </c>
      <c r="Z308" s="3">
        <v>0.1</v>
      </c>
      <c r="AA308" s="3">
        <v>6.94</v>
      </c>
      <c r="AB308" s="3">
        <v>0.11</v>
      </c>
      <c r="AC308" s="3">
        <v>0.91</v>
      </c>
      <c r="AD308" s="3">
        <v>0.02</v>
      </c>
      <c r="AE308" s="3">
        <v>377</v>
      </c>
      <c r="AF308" s="3">
        <v>56</v>
      </c>
      <c r="AG308" s="3">
        <v>353</v>
      </c>
      <c r="AH308" s="3">
        <v>22</v>
      </c>
      <c r="AI308" s="3">
        <v>137</v>
      </c>
      <c r="AJ308" s="3">
        <v>21</v>
      </c>
    </row>
    <row r="309" spans="1:36" x14ac:dyDescent="0.25">
      <c r="A309" s="7">
        <v>3475</v>
      </c>
      <c r="B309" s="3" t="s">
        <v>3</v>
      </c>
      <c r="C309" s="3" t="s">
        <v>599</v>
      </c>
      <c r="D309" s="3"/>
      <c r="E309" s="3">
        <v>44.41</v>
      </c>
      <c r="F309" s="3">
        <v>0.47</v>
      </c>
      <c r="G309" s="3">
        <v>1.03</v>
      </c>
      <c r="H309" s="3">
        <v>0.08</v>
      </c>
      <c r="I309" s="3">
        <v>8.7899999999999991</v>
      </c>
      <c r="J309" s="3">
        <v>0.2</v>
      </c>
      <c r="K309" s="3">
        <v>0.31</v>
      </c>
      <c r="L309" s="3">
        <v>0.04</v>
      </c>
      <c r="M309" s="3">
        <v>18.329999999999998</v>
      </c>
      <c r="N309" s="3">
        <v>0.15</v>
      </c>
      <c r="O309" s="3">
        <v>0.36</v>
      </c>
      <c r="P309" s="3">
        <v>0.02</v>
      </c>
      <c r="Q309" s="3">
        <v>7.16</v>
      </c>
      <c r="R309" s="3">
        <v>0.14000000000000001</v>
      </c>
      <c r="S309" s="3">
        <v>6.73</v>
      </c>
      <c r="T309" s="3">
        <v>7.0000000000000007E-2</v>
      </c>
      <c r="U309" s="3">
        <v>2.25</v>
      </c>
      <c r="V309" s="3">
        <v>0.23</v>
      </c>
      <c r="W309" s="3">
        <v>0.52</v>
      </c>
      <c r="X309" s="3">
        <v>0.06</v>
      </c>
      <c r="Y309" s="3">
        <v>1.01</v>
      </c>
      <c r="Z309" s="3">
        <v>0.09</v>
      </c>
      <c r="AA309" s="3">
        <v>8.07</v>
      </c>
      <c r="AB309" s="3">
        <v>0.12</v>
      </c>
      <c r="AC309" s="3">
        <v>0.93</v>
      </c>
      <c r="AD309" s="3">
        <v>0.02</v>
      </c>
      <c r="AE309" s="3">
        <v>482</v>
      </c>
      <c r="AF309" s="3">
        <v>58</v>
      </c>
      <c r="AG309" s="3">
        <v>488</v>
      </c>
      <c r="AH309" s="3">
        <v>25</v>
      </c>
      <c r="AI309" s="3">
        <v>44</v>
      </c>
      <c r="AJ309" s="3">
        <v>19</v>
      </c>
    </row>
    <row r="310" spans="1:36" x14ac:dyDescent="0.25">
      <c r="A310" s="7">
        <v>3498</v>
      </c>
      <c r="B310" s="3" t="s">
        <v>4</v>
      </c>
      <c r="C310" s="3" t="s">
        <v>600</v>
      </c>
      <c r="D310" s="3"/>
      <c r="E310" s="3">
        <v>45.74</v>
      </c>
      <c r="F310" s="3">
        <v>0.35</v>
      </c>
      <c r="G310" s="3">
        <v>1.0900000000000001</v>
      </c>
      <c r="H310" s="3">
        <v>0.08</v>
      </c>
      <c r="I310" s="3">
        <v>9.43</v>
      </c>
      <c r="J310" s="3">
        <v>0.11</v>
      </c>
      <c r="K310" s="3">
        <v>0.2</v>
      </c>
      <c r="L310" s="3">
        <v>0.03</v>
      </c>
      <c r="M310" s="3">
        <v>16.25</v>
      </c>
      <c r="N310" s="3">
        <v>0.09</v>
      </c>
      <c r="O310" s="3">
        <v>0.36</v>
      </c>
      <c r="P310" s="3">
        <v>0.01</v>
      </c>
      <c r="Q310" s="3">
        <v>8.58</v>
      </c>
      <c r="R310" s="3">
        <v>0.11</v>
      </c>
      <c r="S310" s="3">
        <v>6.29</v>
      </c>
      <c r="T310" s="3">
        <v>0.06</v>
      </c>
      <c r="U310" s="3">
        <v>2.04</v>
      </c>
      <c r="V310" s="3">
        <v>0.2</v>
      </c>
      <c r="W310" s="3">
        <v>0.23</v>
      </c>
      <c r="X310" s="3">
        <v>0.06</v>
      </c>
      <c r="Y310" s="3">
        <v>1.1499999999999999</v>
      </c>
      <c r="Z310" s="3">
        <v>0.08</v>
      </c>
      <c r="AA310" s="3">
        <v>7.82</v>
      </c>
      <c r="AB310" s="3">
        <v>0.11</v>
      </c>
      <c r="AC310" s="3">
        <v>0.74</v>
      </c>
      <c r="AD310" s="3">
        <v>0.02</v>
      </c>
      <c r="AE310" s="3">
        <v>523</v>
      </c>
      <c r="AF310" s="3">
        <v>57</v>
      </c>
      <c r="AG310" s="3">
        <v>118</v>
      </c>
      <c r="AH310" s="3">
        <v>16</v>
      </c>
      <c r="AI310" s="3">
        <v>97</v>
      </c>
      <c r="AJ310" s="3">
        <v>18</v>
      </c>
    </row>
    <row r="311" spans="1:36" x14ac:dyDescent="0.25">
      <c r="A311" s="7">
        <v>3502</v>
      </c>
      <c r="B311" s="3" t="s">
        <v>4</v>
      </c>
      <c r="C311" s="3" t="s">
        <v>601</v>
      </c>
      <c r="D311" s="3"/>
      <c r="E311" s="3">
        <v>46.32</v>
      </c>
      <c r="F311" s="3">
        <v>0.35</v>
      </c>
      <c r="G311" s="3">
        <v>1.1599999999999999</v>
      </c>
      <c r="H311" s="3">
        <v>0.08</v>
      </c>
      <c r="I311" s="3">
        <v>10.3</v>
      </c>
      <c r="J311" s="3">
        <v>0.12</v>
      </c>
      <c r="K311" s="3">
        <v>0.21</v>
      </c>
      <c r="L311" s="3">
        <v>0.03</v>
      </c>
      <c r="M311" s="3">
        <v>16.07</v>
      </c>
      <c r="N311" s="3">
        <v>0.09</v>
      </c>
      <c r="O311" s="3">
        <v>0.4</v>
      </c>
      <c r="P311" s="3">
        <v>0.01</v>
      </c>
      <c r="Q311" s="3">
        <v>7.48</v>
      </c>
      <c r="R311" s="3">
        <v>0.1</v>
      </c>
      <c r="S311" s="3">
        <v>7.14</v>
      </c>
      <c r="T311" s="3">
        <v>0.06</v>
      </c>
      <c r="U311" s="3">
        <v>2.39</v>
      </c>
      <c r="V311" s="3">
        <v>0.21</v>
      </c>
      <c r="W311" s="3">
        <v>0.3</v>
      </c>
      <c r="X311" s="3">
        <v>0.06</v>
      </c>
      <c r="Y311" s="3">
        <v>1.18</v>
      </c>
      <c r="Z311" s="3">
        <v>0.08</v>
      </c>
      <c r="AA311" s="3">
        <v>6.25</v>
      </c>
      <c r="AB311" s="3">
        <v>0.09</v>
      </c>
      <c r="AC311" s="3">
        <v>0.75</v>
      </c>
      <c r="AD311" s="3">
        <v>0.02</v>
      </c>
      <c r="AE311" s="3">
        <v>342</v>
      </c>
      <c r="AF311" s="3">
        <v>52</v>
      </c>
      <c r="AG311" s="3">
        <v>87</v>
      </c>
      <c r="AH311" s="3">
        <v>14</v>
      </c>
      <c r="AI311" s="3">
        <v>43</v>
      </c>
      <c r="AJ311" s="3">
        <v>16</v>
      </c>
    </row>
    <row r="312" spans="1:36" x14ac:dyDescent="0.25">
      <c r="A312" s="7">
        <v>3522</v>
      </c>
      <c r="B312" s="3" t="s">
        <v>4</v>
      </c>
      <c r="C312" s="3" t="s">
        <v>602</v>
      </c>
      <c r="D312" s="3"/>
      <c r="E312" s="3">
        <v>46.26</v>
      </c>
      <c r="F312" s="3">
        <v>0.51</v>
      </c>
      <c r="G312" s="3">
        <v>1.1299999999999999</v>
      </c>
      <c r="H312" s="3">
        <v>0.08</v>
      </c>
      <c r="I312" s="3">
        <v>9.39</v>
      </c>
      <c r="J312" s="3">
        <v>0.16</v>
      </c>
      <c r="K312" s="3">
        <v>0.25</v>
      </c>
      <c r="L312" s="3">
        <v>0.04</v>
      </c>
      <c r="M312" s="3">
        <v>16.98</v>
      </c>
      <c r="N312" s="3">
        <v>0.15</v>
      </c>
      <c r="O312" s="3">
        <v>0.31</v>
      </c>
      <c r="P312" s="3">
        <v>0.02</v>
      </c>
      <c r="Q312" s="3">
        <v>6.96</v>
      </c>
      <c r="R312" s="3">
        <v>0.13</v>
      </c>
      <c r="S312" s="3">
        <v>6.67</v>
      </c>
      <c r="T312" s="3">
        <v>7.0000000000000007E-2</v>
      </c>
      <c r="U312" s="3">
        <v>2.25</v>
      </c>
      <c r="V312" s="3">
        <v>0.24</v>
      </c>
      <c r="W312" s="3">
        <v>0.46</v>
      </c>
      <c r="X312" s="3">
        <v>0.06</v>
      </c>
      <c r="Y312" s="3">
        <v>0.97</v>
      </c>
      <c r="Z312" s="3">
        <v>0.09</v>
      </c>
      <c r="AA312" s="3">
        <v>7.2</v>
      </c>
      <c r="AB312" s="3">
        <v>0.12</v>
      </c>
      <c r="AC312" s="3">
        <v>1.06</v>
      </c>
      <c r="AD312" s="3">
        <v>0.03</v>
      </c>
      <c r="AE312" s="3">
        <v>394</v>
      </c>
      <c r="AF312" s="3">
        <v>62</v>
      </c>
      <c r="AG312" s="3">
        <v>258</v>
      </c>
      <c r="AH312" s="3">
        <v>23</v>
      </c>
      <c r="AI312" s="3">
        <v>112</v>
      </c>
      <c r="AJ312" s="3">
        <v>21</v>
      </c>
    </row>
    <row r="313" spans="1:36" x14ac:dyDescent="0.25">
      <c r="A313" s="7">
        <v>3535</v>
      </c>
      <c r="B313" s="3" t="s">
        <v>4</v>
      </c>
      <c r="C313" s="3" t="s">
        <v>603</v>
      </c>
      <c r="D313" s="3"/>
      <c r="E313" s="3">
        <v>45.47</v>
      </c>
      <c r="F313" s="3">
        <v>0.34</v>
      </c>
      <c r="G313" s="3">
        <v>1.18</v>
      </c>
      <c r="H313" s="3">
        <v>0.08</v>
      </c>
      <c r="I313" s="3">
        <v>9.23</v>
      </c>
      <c r="J313" s="3">
        <v>0.11</v>
      </c>
      <c r="K313" s="3">
        <v>0.27</v>
      </c>
      <c r="L313" s="3">
        <v>0.04</v>
      </c>
      <c r="M313" s="3">
        <v>17.13</v>
      </c>
      <c r="N313" s="3">
        <v>0.1</v>
      </c>
      <c r="O313" s="3">
        <v>0.35</v>
      </c>
      <c r="P313" s="3">
        <v>0.01</v>
      </c>
      <c r="Q313" s="3">
        <v>7.13</v>
      </c>
      <c r="R313" s="3">
        <v>0.1</v>
      </c>
      <c r="S313" s="3">
        <v>6.47</v>
      </c>
      <c r="T313" s="3">
        <v>0.06</v>
      </c>
      <c r="U313" s="3">
        <v>2.37</v>
      </c>
      <c r="V313" s="3">
        <v>0.19</v>
      </c>
      <c r="W313" s="3">
        <v>0.49</v>
      </c>
      <c r="X313" s="3">
        <v>0.06</v>
      </c>
      <c r="Y313" s="3">
        <v>0.98</v>
      </c>
      <c r="Z313" s="3">
        <v>0.08</v>
      </c>
      <c r="AA313" s="3">
        <v>7.66</v>
      </c>
      <c r="AB313" s="3">
        <v>0.11</v>
      </c>
      <c r="AC313" s="3">
        <v>1.17</v>
      </c>
      <c r="AD313" s="3">
        <v>0.03</v>
      </c>
      <c r="AE313" s="3">
        <v>394</v>
      </c>
      <c r="AF313" s="3">
        <v>56</v>
      </c>
      <c r="AG313" s="3">
        <v>203</v>
      </c>
      <c r="AH313" s="3">
        <v>19</v>
      </c>
      <c r="AI313" s="3">
        <v>110</v>
      </c>
      <c r="AJ313" s="3">
        <v>18</v>
      </c>
    </row>
    <row r="314" spans="1:36" x14ac:dyDescent="0.25">
      <c r="A314" s="7">
        <v>3542</v>
      </c>
      <c r="B314" s="3" t="s">
        <v>5</v>
      </c>
      <c r="C314" s="3" t="s">
        <v>604</v>
      </c>
      <c r="D314" s="3"/>
      <c r="E314" s="3">
        <v>44.69</v>
      </c>
      <c r="F314" s="3">
        <v>0.55000000000000004</v>
      </c>
      <c r="G314" s="3">
        <v>0.96</v>
      </c>
      <c r="H314" s="3">
        <v>0.09</v>
      </c>
      <c r="I314" s="3">
        <v>9.06</v>
      </c>
      <c r="J314" s="3">
        <v>0.28000000000000003</v>
      </c>
      <c r="K314" s="3">
        <v>0.2</v>
      </c>
      <c r="L314" s="3">
        <v>0.04</v>
      </c>
      <c r="M314" s="3">
        <v>16.73</v>
      </c>
      <c r="N314" s="3">
        <v>0.16</v>
      </c>
      <c r="O314" s="3">
        <v>0.26</v>
      </c>
      <c r="P314" s="3">
        <v>0.02</v>
      </c>
      <c r="Q314" s="3">
        <v>8.01</v>
      </c>
      <c r="R314" s="3">
        <v>0.19</v>
      </c>
      <c r="S314" s="3">
        <v>5.92</v>
      </c>
      <c r="T314" s="3">
        <v>0.08</v>
      </c>
      <c r="U314" s="3">
        <v>2.54</v>
      </c>
      <c r="V314" s="3">
        <v>0.28999999999999998</v>
      </c>
      <c r="W314" s="3">
        <v>0.36</v>
      </c>
      <c r="X314" s="3">
        <v>0.06</v>
      </c>
      <c r="Y314" s="3">
        <v>0.89</v>
      </c>
      <c r="Z314" s="3">
        <v>0.11</v>
      </c>
      <c r="AA314" s="3">
        <v>9.17</v>
      </c>
      <c r="AB314" s="3">
        <v>0.16</v>
      </c>
      <c r="AC314" s="3">
        <v>1.1200000000000001</v>
      </c>
      <c r="AD314" s="3">
        <v>0.03</v>
      </c>
      <c r="AE314" s="3">
        <v>447</v>
      </c>
      <c r="AF314" s="3">
        <v>68</v>
      </c>
      <c r="AG314" s="3">
        <v>121</v>
      </c>
      <c r="AH314" s="3">
        <v>22</v>
      </c>
      <c r="AI314" s="3">
        <v>78</v>
      </c>
      <c r="AJ314" s="3">
        <v>20</v>
      </c>
    </row>
    <row r="315" spans="1:36" x14ac:dyDescent="0.25">
      <c r="A315" s="7">
        <v>3546</v>
      </c>
      <c r="B315" s="3" t="s">
        <v>4</v>
      </c>
      <c r="C315" s="3" t="s">
        <v>605</v>
      </c>
      <c r="D315" s="3"/>
      <c r="E315" s="3">
        <v>28.09</v>
      </c>
      <c r="F315" s="3">
        <v>0.4</v>
      </c>
      <c r="G315" s="3">
        <v>0.76</v>
      </c>
      <c r="H315" s="3">
        <v>0.09</v>
      </c>
      <c r="I315" s="3">
        <v>5.75</v>
      </c>
      <c r="J315" s="3">
        <v>0.15</v>
      </c>
      <c r="K315" s="3">
        <v>0.21</v>
      </c>
      <c r="L315" s="3">
        <v>0.05</v>
      </c>
      <c r="M315" s="3">
        <v>16.62</v>
      </c>
      <c r="N315" s="3">
        <v>0.18</v>
      </c>
      <c r="O315" s="3">
        <v>1.67</v>
      </c>
      <c r="P315" s="3">
        <v>0.05</v>
      </c>
      <c r="Q315" s="3">
        <v>12.06</v>
      </c>
      <c r="R315" s="3">
        <v>0.21</v>
      </c>
      <c r="S315" s="3">
        <v>5.45</v>
      </c>
      <c r="T315" s="3">
        <v>0.09</v>
      </c>
      <c r="U315" s="3">
        <v>1.01</v>
      </c>
      <c r="V315" s="3">
        <v>0.25</v>
      </c>
      <c r="W315" s="3">
        <v>0.32</v>
      </c>
      <c r="X315" s="3">
        <v>7.0000000000000007E-2</v>
      </c>
      <c r="Y315" s="3">
        <v>1.57</v>
      </c>
      <c r="Z315" s="3">
        <v>0.13</v>
      </c>
      <c r="AA315" s="3">
        <v>25.44</v>
      </c>
      <c r="AB315" s="3">
        <v>0.38</v>
      </c>
      <c r="AC315" s="3">
        <v>0.92</v>
      </c>
      <c r="AD315" s="3">
        <v>0.04</v>
      </c>
      <c r="AE315" s="3">
        <v>661</v>
      </c>
      <c r="AF315" s="3">
        <v>99</v>
      </c>
      <c r="AG315" s="3">
        <v>185</v>
      </c>
      <c r="AH315" s="3">
        <v>34</v>
      </c>
      <c r="AI315" s="3">
        <v>262</v>
      </c>
      <c r="AJ315" s="3">
        <v>31</v>
      </c>
    </row>
    <row r="316" spans="1:36" x14ac:dyDescent="0.25">
      <c r="A316" s="7">
        <v>3548</v>
      </c>
      <c r="B316" s="3" t="s">
        <v>4</v>
      </c>
      <c r="C316" s="3" t="s">
        <v>606</v>
      </c>
      <c r="D316" s="3"/>
      <c r="E316" s="3">
        <v>23.83</v>
      </c>
      <c r="F316" s="3">
        <v>0.31</v>
      </c>
      <c r="G316" s="3">
        <v>0.62</v>
      </c>
      <c r="H316" s="3">
        <v>0.08</v>
      </c>
      <c r="I316" s="3">
        <v>4.7</v>
      </c>
      <c r="J316" s="3">
        <v>0.15</v>
      </c>
      <c r="K316" s="3">
        <v>0.12</v>
      </c>
      <c r="L316" s="3">
        <v>0.04</v>
      </c>
      <c r="M316" s="3">
        <v>15.95</v>
      </c>
      <c r="N316" s="3">
        <v>0.16</v>
      </c>
      <c r="O316" s="3">
        <v>2.12</v>
      </c>
      <c r="P316" s="3">
        <v>0.04</v>
      </c>
      <c r="Q316" s="3">
        <v>13.26</v>
      </c>
      <c r="R316" s="3">
        <v>0.23</v>
      </c>
      <c r="S316" s="3">
        <v>6.08</v>
      </c>
      <c r="T316" s="3">
        <v>0.08</v>
      </c>
      <c r="U316" s="3">
        <v>1.02</v>
      </c>
      <c r="V316" s="3">
        <v>0.37</v>
      </c>
      <c r="W316" s="3">
        <v>0.17</v>
      </c>
      <c r="X316" s="3">
        <v>0.06</v>
      </c>
      <c r="Y316" s="3">
        <v>2.1800000000000002</v>
      </c>
      <c r="Z316" s="3">
        <v>0.14000000000000001</v>
      </c>
      <c r="AA316" s="3">
        <v>28.81</v>
      </c>
      <c r="AB316" s="3">
        <v>0.38</v>
      </c>
      <c r="AC316" s="3">
        <v>0.95</v>
      </c>
      <c r="AD316" s="3">
        <v>0.03</v>
      </c>
      <c r="AE316" s="3">
        <v>884</v>
      </c>
      <c r="AF316" s="3">
        <v>87</v>
      </c>
      <c r="AG316" s="3">
        <v>130</v>
      </c>
      <c r="AH316" s="3">
        <v>25</v>
      </c>
      <c r="AI316" s="3">
        <v>476</v>
      </c>
      <c r="AJ316" s="3">
        <v>30</v>
      </c>
    </row>
    <row r="317" spans="1:36" x14ac:dyDescent="0.25">
      <c r="A317" s="7">
        <v>3551</v>
      </c>
      <c r="B317" s="3" t="s">
        <v>4</v>
      </c>
      <c r="C317" s="3" t="s">
        <v>607</v>
      </c>
      <c r="D317" s="3"/>
      <c r="E317" s="3">
        <v>18.05</v>
      </c>
      <c r="F317" s="3">
        <v>0.21</v>
      </c>
      <c r="G317" s="3">
        <v>0.44</v>
      </c>
      <c r="H317" s="3">
        <v>7.0000000000000007E-2</v>
      </c>
      <c r="I317" s="3">
        <v>3.48</v>
      </c>
      <c r="J317" s="3">
        <v>0.08</v>
      </c>
      <c r="K317" s="3">
        <v>0.1</v>
      </c>
      <c r="L317" s="3">
        <v>0.04</v>
      </c>
      <c r="M317" s="3">
        <v>15.07</v>
      </c>
      <c r="N317" s="3">
        <v>0.12</v>
      </c>
      <c r="O317" s="3">
        <v>3.48</v>
      </c>
      <c r="P317" s="3">
        <v>0.06</v>
      </c>
      <c r="Q317" s="3">
        <v>13</v>
      </c>
      <c r="R317" s="3">
        <v>0.17</v>
      </c>
      <c r="S317" s="3">
        <v>7.66</v>
      </c>
      <c r="T317" s="3">
        <v>0.09</v>
      </c>
      <c r="U317" s="3">
        <v>0.86</v>
      </c>
      <c r="V317" s="3">
        <v>0.19</v>
      </c>
      <c r="W317" s="3">
        <v>0.14000000000000001</v>
      </c>
      <c r="X317" s="3">
        <v>0.06</v>
      </c>
      <c r="Y317" s="3">
        <v>2.37</v>
      </c>
      <c r="Z317" s="3">
        <v>0.12</v>
      </c>
      <c r="AA317" s="3">
        <v>34.51</v>
      </c>
      <c r="AB317" s="3">
        <v>0.36</v>
      </c>
      <c r="AC317" s="3">
        <v>0.66</v>
      </c>
      <c r="AD317" s="3">
        <v>0.03</v>
      </c>
      <c r="AE317" s="3">
        <v>1001</v>
      </c>
      <c r="AF317" s="3">
        <v>93</v>
      </c>
      <c r="AG317" s="3">
        <v>155</v>
      </c>
      <c r="AH317" s="3">
        <v>27</v>
      </c>
      <c r="AI317" s="3">
        <v>334</v>
      </c>
      <c r="AJ317" s="3">
        <v>28</v>
      </c>
    </row>
    <row r="318" spans="1:36" x14ac:dyDescent="0.25">
      <c r="A318" s="7">
        <v>3560</v>
      </c>
      <c r="B318" s="3" t="s">
        <v>4</v>
      </c>
      <c r="C318" s="3" t="s">
        <v>608</v>
      </c>
      <c r="D318" s="3"/>
      <c r="E318" s="3">
        <v>36.19</v>
      </c>
      <c r="F318" s="3">
        <v>0.53</v>
      </c>
      <c r="G318" s="3">
        <v>0.91</v>
      </c>
      <c r="H318" s="3">
        <v>0.1</v>
      </c>
      <c r="I318" s="3">
        <v>7.57</v>
      </c>
      <c r="J318" s="3">
        <v>0.2</v>
      </c>
      <c r="K318" s="3">
        <v>0.22</v>
      </c>
      <c r="L318" s="3">
        <v>0.05</v>
      </c>
      <c r="M318" s="3">
        <v>17.940000000000001</v>
      </c>
      <c r="N318" s="3">
        <v>0.21</v>
      </c>
      <c r="O318" s="3">
        <v>1.3</v>
      </c>
      <c r="P318" s="3">
        <v>0.05</v>
      </c>
      <c r="Q318" s="3">
        <v>9.43</v>
      </c>
      <c r="R318" s="3">
        <v>0.21</v>
      </c>
      <c r="S318" s="3">
        <v>5.69</v>
      </c>
      <c r="T318" s="3">
        <v>0.1</v>
      </c>
      <c r="U318" s="3">
        <v>1.57</v>
      </c>
      <c r="V318" s="3">
        <v>0.28999999999999998</v>
      </c>
      <c r="W318" s="3">
        <v>0.41</v>
      </c>
      <c r="X318" s="3">
        <v>7.0000000000000007E-2</v>
      </c>
      <c r="Y318" s="3">
        <v>1.33</v>
      </c>
      <c r="Z318" s="3">
        <v>0.13</v>
      </c>
      <c r="AA318" s="3">
        <v>16.440000000000001</v>
      </c>
      <c r="AB318" s="3">
        <v>0.31</v>
      </c>
      <c r="AC318" s="3">
        <v>0.91</v>
      </c>
      <c r="AD318" s="3">
        <v>0.04</v>
      </c>
      <c r="AE318" s="3">
        <v>354</v>
      </c>
      <c r="AF318" s="3">
        <v>111</v>
      </c>
      <c r="AG318" s="3">
        <v>204</v>
      </c>
      <c r="AH318" s="3">
        <v>43</v>
      </c>
      <c r="AI318" s="3">
        <v>144</v>
      </c>
      <c r="AJ318" s="3">
        <v>34</v>
      </c>
    </row>
    <row r="319" spans="1:36" x14ac:dyDescent="0.25">
      <c r="A319" s="7">
        <v>3564</v>
      </c>
      <c r="B319" s="3" t="s">
        <v>4</v>
      </c>
      <c r="C319" s="3" t="s">
        <v>609</v>
      </c>
      <c r="D319" s="3"/>
      <c r="E319" s="3">
        <v>20.13</v>
      </c>
      <c r="F319" s="3">
        <v>0.3</v>
      </c>
      <c r="G319" s="3">
        <v>0.57999999999999996</v>
      </c>
      <c r="H319" s="3">
        <v>0.08</v>
      </c>
      <c r="I319" s="3">
        <v>3.68</v>
      </c>
      <c r="J319" s="3">
        <v>0.11</v>
      </c>
      <c r="K319" s="3">
        <v>0.1</v>
      </c>
      <c r="L319" s="3">
        <v>0.04</v>
      </c>
      <c r="M319" s="3">
        <v>15.5</v>
      </c>
      <c r="N319" s="3">
        <v>0.17</v>
      </c>
      <c r="O319" s="3">
        <v>3.35</v>
      </c>
      <c r="P319" s="3">
        <v>7.0000000000000007E-2</v>
      </c>
      <c r="Q319" s="3">
        <v>11.5</v>
      </c>
      <c r="R319" s="3">
        <v>0.2</v>
      </c>
      <c r="S319" s="3">
        <v>8.26</v>
      </c>
      <c r="T319" s="3">
        <v>0.11</v>
      </c>
      <c r="U319" s="3">
        <v>0.84</v>
      </c>
      <c r="V319" s="3">
        <v>0.24</v>
      </c>
      <c r="W319" s="3">
        <v>0.13</v>
      </c>
      <c r="X319" s="3">
        <v>0.06</v>
      </c>
      <c r="Y319" s="3">
        <v>2.44</v>
      </c>
      <c r="Z319" s="3">
        <v>0.14000000000000001</v>
      </c>
      <c r="AA319" s="3">
        <v>32.700000000000003</v>
      </c>
      <c r="AB319" s="3">
        <v>0.46</v>
      </c>
      <c r="AC319" s="3">
        <v>0.65</v>
      </c>
      <c r="AD319" s="3">
        <v>0.03</v>
      </c>
      <c r="AE319" s="3">
        <v>736</v>
      </c>
      <c r="AF319" s="3">
        <v>96</v>
      </c>
      <c r="AG319" s="3">
        <v>116</v>
      </c>
      <c r="AH319" s="3">
        <v>29</v>
      </c>
      <c r="AI319" s="3">
        <v>269</v>
      </c>
      <c r="AJ319" s="3">
        <v>32</v>
      </c>
    </row>
    <row r="320" spans="1:36" x14ac:dyDescent="0.25">
      <c r="A320" s="7">
        <v>3569</v>
      </c>
      <c r="B320" s="3" t="s">
        <v>5</v>
      </c>
      <c r="C320" s="3" t="s">
        <v>610</v>
      </c>
      <c r="D320" s="3"/>
      <c r="E320" s="3">
        <v>43.3</v>
      </c>
      <c r="F320" s="3">
        <v>0.45</v>
      </c>
      <c r="G320" s="3">
        <v>1.02</v>
      </c>
      <c r="H320" s="3">
        <v>0.08</v>
      </c>
      <c r="I320" s="3">
        <v>8.89</v>
      </c>
      <c r="J320" s="3">
        <v>0.14000000000000001</v>
      </c>
      <c r="K320" s="3">
        <v>0.19</v>
      </c>
      <c r="L320" s="3">
        <v>0.04</v>
      </c>
      <c r="M320" s="3">
        <v>16.66</v>
      </c>
      <c r="N320" s="3">
        <v>0.14000000000000001</v>
      </c>
      <c r="O320" s="3">
        <v>0.27</v>
      </c>
      <c r="P320" s="3">
        <v>0.01</v>
      </c>
      <c r="Q320" s="3">
        <v>7.31</v>
      </c>
      <c r="R320" s="3">
        <v>0.12</v>
      </c>
      <c r="S320" s="3">
        <v>6.38</v>
      </c>
      <c r="T320" s="3">
        <v>0.06</v>
      </c>
      <c r="U320" s="3">
        <v>2.5299999999999998</v>
      </c>
      <c r="V320" s="3">
        <v>0.22</v>
      </c>
      <c r="W320" s="3">
        <v>0.37</v>
      </c>
      <c r="X320" s="3">
        <v>0.06</v>
      </c>
      <c r="Y320" s="3">
        <v>0.99</v>
      </c>
      <c r="Z320" s="3">
        <v>0.09</v>
      </c>
      <c r="AA320" s="3">
        <v>10.48</v>
      </c>
      <c r="AB320" s="3">
        <v>0.15</v>
      </c>
      <c r="AC320" s="3">
        <v>1.54</v>
      </c>
      <c r="AD320" s="3">
        <v>0.03</v>
      </c>
      <c r="AE320" s="3">
        <v>376</v>
      </c>
      <c r="AF320" s="3">
        <v>55</v>
      </c>
      <c r="AG320" s="3">
        <v>152</v>
      </c>
      <c r="AH320" s="3">
        <v>17</v>
      </c>
      <c r="AI320" s="3">
        <v>65</v>
      </c>
      <c r="AJ320" s="3">
        <v>18</v>
      </c>
    </row>
    <row r="321" spans="1:36" x14ac:dyDescent="0.25">
      <c r="A321" s="7">
        <v>3573</v>
      </c>
      <c r="B321" s="3" t="s">
        <v>4</v>
      </c>
      <c r="C321" s="3" t="s">
        <v>611</v>
      </c>
      <c r="D321" s="3"/>
      <c r="E321" s="3">
        <v>27.32</v>
      </c>
      <c r="F321" s="3">
        <v>0.24</v>
      </c>
      <c r="G321" s="3">
        <v>0.78</v>
      </c>
      <c r="H321" s="3">
        <v>7.0000000000000007E-2</v>
      </c>
      <c r="I321" s="3">
        <v>5.67</v>
      </c>
      <c r="J321" s="3">
        <v>0.08</v>
      </c>
      <c r="K321" s="3">
        <v>0.13</v>
      </c>
      <c r="L321" s="3">
        <v>0.03</v>
      </c>
      <c r="M321" s="3">
        <v>16.18</v>
      </c>
      <c r="N321" s="3">
        <v>0.1</v>
      </c>
      <c r="O321" s="3">
        <v>1.57</v>
      </c>
      <c r="P321" s="3">
        <v>0.03</v>
      </c>
      <c r="Q321" s="3">
        <v>12.31</v>
      </c>
      <c r="R321" s="3">
        <v>0.13</v>
      </c>
      <c r="S321" s="3">
        <v>5.36</v>
      </c>
      <c r="T321" s="3">
        <v>0.05</v>
      </c>
      <c r="U321" s="3">
        <v>0.93</v>
      </c>
      <c r="V321" s="3">
        <v>0.17</v>
      </c>
      <c r="W321" s="3">
        <v>0.18</v>
      </c>
      <c r="X321" s="3">
        <v>0.06</v>
      </c>
      <c r="Y321" s="3">
        <v>1.08</v>
      </c>
      <c r="Z321" s="3">
        <v>0.09</v>
      </c>
      <c r="AA321" s="3">
        <v>28.2</v>
      </c>
      <c r="AB321" s="3">
        <v>0.25</v>
      </c>
      <c r="AC321" s="3">
        <v>0.22</v>
      </c>
      <c r="AD321" s="3">
        <v>0.01</v>
      </c>
      <c r="AE321" s="3">
        <v>547</v>
      </c>
      <c r="AF321" s="3">
        <v>57</v>
      </c>
      <c r="AG321" s="3">
        <v>82</v>
      </c>
      <c r="AH321" s="3">
        <v>15</v>
      </c>
      <c r="AI321" s="3">
        <v>40</v>
      </c>
      <c r="AJ321" s="3">
        <v>16</v>
      </c>
    </row>
    <row r="322" spans="1:36" x14ac:dyDescent="0.25">
      <c r="A322" s="7">
        <v>3574</v>
      </c>
      <c r="B322" s="3" t="s">
        <v>4</v>
      </c>
      <c r="C322" s="3" t="s">
        <v>612</v>
      </c>
      <c r="D322" s="3"/>
      <c r="E322" s="3">
        <v>22.52</v>
      </c>
      <c r="F322" s="3">
        <v>0.27</v>
      </c>
      <c r="G322" s="3">
        <v>0.65</v>
      </c>
      <c r="H322" s="3">
        <v>0.08</v>
      </c>
      <c r="I322" s="3">
        <v>4.38</v>
      </c>
      <c r="J322" s="3">
        <v>0.09</v>
      </c>
      <c r="K322" s="3">
        <v>0.17</v>
      </c>
      <c r="L322" s="3">
        <v>0.04</v>
      </c>
      <c r="M322" s="3">
        <v>16.53</v>
      </c>
      <c r="N322" s="3">
        <v>0.14000000000000001</v>
      </c>
      <c r="O322" s="3">
        <v>2.0099999999999998</v>
      </c>
      <c r="P322" s="3">
        <v>0.04</v>
      </c>
      <c r="Q322" s="3">
        <v>14.49</v>
      </c>
      <c r="R322" s="3">
        <v>0.19</v>
      </c>
      <c r="S322" s="3">
        <v>3.75</v>
      </c>
      <c r="T322" s="3">
        <v>0.05</v>
      </c>
      <c r="U322" s="3">
        <v>0.82</v>
      </c>
      <c r="V322" s="3">
        <v>0.2</v>
      </c>
      <c r="W322" s="3">
        <v>0.12</v>
      </c>
      <c r="X322" s="3">
        <v>0.06</v>
      </c>
      <c r="Y322" s="3">
        <v>0.91</v>
      </c>
      <c r="Z322" s="3">
        <v>0.1</v>
      </c>
      <c r="AA322" s="3">
        <v>33.31</v>
      </c>
      <c r="AB322" s="3">
        <v>0.37</v>
      </c>
      <c r="AC322" s="3">
        <v>0.26</v>
      </c>
      <c r="AD322" s="3">
        <v>0.02</v>
      </c>
      <c r="AE322" s="3">
        <v>715</v>
      </c>
      <c r="AF322" s="3">
        <v>66</v>
      </c>
      <c r="AG322" s="3">
        <v>111</v>
      </c>
      <c r="AH322" s="3">
        <v>18</v>
      </c>
      <c r="AI322" s="3">
        <v>88</v>
      </c>
      <c r="AJ322" s="3">
        <v>20</v>
      </c>
    </row>
    <row r="323" spans="1:36" x14ac:dyDescent="0.25">
      <c r="A323" s="7">
        <v>3575</v>
      </c>
      <c r="B323" s="3" t="s">
        <v>4</v>
      </c>
      <c r="C323" s="3" t="s">
        <v>613</v>
      </c>
      <c r="D323" s="3"/>
      <c r="E323" s="3">
        <v>16.079999999999998</v>
      </c>
      <c r="F323" s="3">
        <v>0.21</v>
      </c>
      <c r="G323" s="3">
        <v>0.56999999999999995</v>
      </c>
      <c r="H323" s="3">
        <v>0.08</v>
      </c>
      <c r="I323" s="3">
        <v>3.6</v>
      </c>
      <c r="J323" s="3">
        <v>0.08</v>
      </c>
      <c r="K323" s="3">
        <v>0.14000000000000001</v>
      </c>
      <c r="L323" s="3">
        <v>0.04</v>
      </c>
      <c r="M323" s="3">
        <v>16.97</v>
      </c>
      <c r="N323" s="3">
        <v>0.15</v>
      </c>
      <c r="O323" s="3">
        <v>2.85</v>
      </c>
      <c r="P323" s="3">
        <v>0.05</v>
      </c>
      <c r="Q323" s="3">
        <v>15.58</v>
      </c>
      <c r="R323" s="3">
        <v>0.21</v>
      </c>
      <c r="S323" s="3">
        <v>4.05</v>
      </c>
      <c r="T323" s="3">
        <v>0.06</v>
      </c>
      <c r="U323" s="3">
        <v>0.53</v>
      </c>
      <c r="V323" s="3">
        <v>0.21</v>
      </c>
      <c r="W323" s="3">
        <v>0.09</v>
      </c>
      <c r="X323" s="3">
        <v>0.06</v>
      </c>
      <c r="Y323" s="3">
        <v>0.98</v>
      </c>
      <c r="Z323" s="3">
        <v>0.11</v>
      </c>
      <c r="AA323" s="3">
        <v>38.21</v>
      </c>
      <c r="AB323" s="3">
        <v>0.43</v>
      </c>
      <c r="AC323" s="3">
        <v>0.21</v>
      </c>
      <c r="AD323" s="3">
        <v>0.02</v>
      </c>
      <c r="AE323" s="3">
        <v>1024</v>
      </c>
      <c r="AF323" s="3">
        <v>78</v>
      </c>
      <c r="AG323" s="3">
        <v>175</v>
      </c>
      <c r="AH323" s="3">
        <v>22</v>
      </c>
      <c r="AI323" s="3">
        <v>77</v>
      </c>
      <c r="AJ323" s="3">
        <v>21</v>
      </c>
    </row>
    <row r="324" spans="1:36" x14ac:dyDescent="0.25">
      <c r="A324" s="7">
        <v>3577</v>
      </c>
      <c r="B324" s="3" t="s">
        <v>4</v>
      </c>
      <c r="C324" s="3" t="s">
        <v>614</v>
      </c>
      <c r="D324" s="3"/>
      <c r="E324" s="3">
        <v>25.62</v>
      </c>
      <c r="F324" s="3">
        <v>0.3</v>
      </c>
      <c r="G324" s="3">
        <v>0.65</v>
      </c>
      <c r="H324" s="3">
        <v>0.08</v>
      </c>
      <c r="I324" s="3">
        <v>4.87</v>
      </c>
      <c r="J324" s="3">
        <v>0.09</v>
      </c>
      <c r="K324" s="3">
        <v>0.16</v>
      </c>
      <c r="L324" s="3">
        <v>0.04</v>
      </c>
      <c r="M324" s="3">
        <v>16.84</v>
      </c>
      <c r="N324" s="3">
        <v>0.14000000000000001</v>
      </c>
      <c r="O324" s="3">
        <v>3.37</v>
      </c>
      <c r="P324" s="3">
        <v>0.05</v>
      </c>
      <c r="Q324" s="3">
        <v>11.65</v>
      </c>
      <c r="R324" s="3">
        <v>0.16</v>
      </c>
      <c r="S324" s="3">
        <v>4.8499999999999996</v>
      </c>
      <c r="T324" s="3">
        <v>0.06</v>
      </c>
      <c r="U324" s="3">
        <v>0.86</v>
      </c>
      <c r="V324" s="3">
        <v>0.2</v>
      </c>
      <c r="W324" s="3">
        <v>0.28000000000000003</v>
      </c>
      <c r="X324" s="3">
        <v>0.06</v>
      </c>
      <c r="Y324" s="3">
        <v>1.4</v>
      </c>
      <c r="Z324" s="3">
        <v>0.1</v>
      </c>
      <c r="AA324" s="3">
        <v>28.95</v>
      </c>
      <c r="AB324" s="3">
        <v>0.33</v>
      </c>
      <c r="AC324" s="3">
        <v>0.33</v>
      </c>
      <c r="AD324" s="3">
        <v>0.02</v>
      </c>
      <c r="AE324" s="3">
        <v>1022</v>
      </c>
      <c r="AF324" s="3">
        <v>72</v>
      </c>
      <c r="AG324" s="3">
        <v>231</v>
      </c>
      <c r="AH324" s="3">
        <v>21</v>
      </c>
      <c r="AI324" s="3">
        <v>77</v>
      </c>
      <c r="AJ324" s="3">
        <v>20</v>
      </c>
    </row>
    <row r="325" spans="1:36" x14ac:dyDescent="0.25">
      <c r="A325" s="7">
        <v>3581</v>
      </c>
      <c r="B325" s="3" t="s">
        <v>8</v>
      </c>
      <c r="C325" s="3" t="s">
        <v>615</v>
      </c>
      <c r="D325" s="3"/>
      <c r="E325" s="3">
        <v>37.770000000000003</v>
      </c>
      <c r="F325" s="3">
        <v>0.35</v>
      </c>
      <c r="G325" s="3">
        <v>0.95</v>
      </c>
      <c r="H325" s="3">
        <v>0.08</v>
      </c>
      <c r="I325" s="3">
        <v>7</v>
      </c>
      <c r="J325" s="3">
        <v>0.11</v>
      </c>
      <c r="K325" s="3">
        <v>0.35</v>
      </c>
      <c r="L325" s="3">
        <v>0.04</v>
      </c>
      <c r="M325" s="3">
        <v>18.23</v>
      </c>
      <c r="N325" s="3">
        <v>0.12</v>
      </c>
      <c r="O325" s="3">
        <v>0.75</v>
      </c>
      <c r="P325" s="3">
        <v>0.02</v>
      </c>
      <c r="Q325" s="3">
        <v>8.14</v>
      </c>
      <c r="R325" s="3">
        <v>0.15</v>
      </c>
      <c r="S325" s="3">
        <v>7.28</v>
      </c>
      <c r="T325" s="3">
        <v>7.0000000000000007E-2</v>
      </c>
      <c r="U325" s="3">
        <v>1.74</v>
      </c>
      <c r="V325" s="3">
        <v>0.33</v>
      </c>
      <c r="W325" s="3">
        <v>0.33</v>
      </c>
      <c r="X325" s="3">
        <v>0.06</v>
      </c>
      <c r="Y325" s="3">
        <v>1.82</v>
      </c>
      <c r="Z325" s="3">
        <v>0.1</v>
      </c>
      <c r="AA325" s="3">
        <v>15.09</v>
      </c>
      <c r="AB325" s="3">
        <v>0.18</v>
      </c>
      <c r="AC325" s="3">
        <v>0.43</v>
      </c>
      <c r="AD325" s="3">
        <v>0.02</v>
      </c>
      <c r="AE325" s="3">
        <v>372</v>
      </c>
      <c r="AF325" s="3">
        <v>62</v>
      </c>
      <c r="AG325" s="3">
        <v>218</v>
      </c>
      <c r="AH325" s="3">
        <v>21</v>
      </c>
      <c r="AI325" s="3">
        <v>117</v>
      </c>
      <c r="AJ325" s="3">
        <v>19</v>
      </c>
    </row>
    <row r="326" spans="1:36" x14ac:dyDescent="0.25">
      <c r="A326" s="7">
        <v>3583</v>
      </c>
      <c r="B326" s="3" t="s">
        <v>8</v>
      </c>
      <c r="C326" s="3" t="s">
        <v>616</v>
      </c>
      <c r="D326" s="3"/>
      <c r="E326" s="3">
        <v>39.31</v>
      </c>
      <c r="F326" s="3">
        <v>0.4</v>
      </c>
      <c r="G326" s="3">
        <v>1.07</v>
      </c>
      <c r="H326" s="3">
        <v>0.08</v>
      </c>
      <c r="I326" s="3">
        <v>7.86</v>
      </c>
      <c r="J326" s="3">
        <v>0.12</v>
      </c>
      <c r="K326" s="3">
        <v>0.38</v>
      </c>
      <c r="L326" s="3">
        <v>0.04</v>
      </c>
      <c r="M326" s="3">
        <v>18.34</v>
      </c>
      <c r="N326" s="3">
        <v>0.14000000000000001</v>
      </c>
      <c r="O326" s="3">
        <v>1.01</v>
      </c>
      <c r="P326" s="3">
        <v>0.02</v>
      </c>
      <c r="Q326" s="3">
        <v>8.52</v>
      </c>
      <c r="R326" s="3">
        <v>0.12</v>
      </c>
      <c r="S326" s="3">
        <v>7.07</v>
      </c>
      <c r="T326" s="3">
        <v>7.0000000000000007E-2</v>
      </c>
      <c r="U326" s="3">
        <v>1.92</v>
      </c>
      <c r="V326" s="3">
        <v>0.21</v>
      </c>
      <c r="W326" s="3">
        <v>0.35</v>
      </c>
      <c r="X326" s="3">
        <v>0.06</v>
      </c>
      <c r="Y326" s="3">
        <v>1.53</v>
      </c>
      <c r="Z326" s="3">
        <v>0.09</v>
      </c>
      <c r="AA326" s="3">
        <v>12.06</v>
      </c>
      <c r="AB326" s="3">
        <v>0.15</v>
      </c>
      <c r="AC326" s="3">
        <v>0.45</v>
      </c>
      <c r="AD326" s="3">
        <v>0.02</v>
      </c>
      <c r="AE326" s="3">
        <v>603</v>
      </c>
      <c r="AF326" s="3">
        <v>58</v>
      </c>
      <c r="AG326" s="3">
        <v>198</v>
      </c>
      <c r="AH326" s="3">
        <v>18</v>
      </c>
      <c r="AI326" s="3">
        <v>180</v>
      </c>
      <c r="AJ326" s="3">
        <v>20</v>
      </c>
    </row>
    <row r="327" spans="1:36" x14ac:dyDescent="0.25">
      <c r="A327" s="7">
        <v>3587</v>
      </c>
      <c r="B327" s="3" t="s">
        <v>4</v>
      </c>
      <c r="C327" s="3" t="s">
        <v>617</v>
      </c>
      <c r="D327" s="3"/>
      <c r="E327" s="3">
        <v>47.64</v>
      </c>
      <c r="F327" s="3">
        <v>0.51</v>
      </c>
      <c r="G327" s="3">
        <v>0.63</v>
      </c>
      <c r="H327" s="3">
        <v>7.0000000000000007E-2</v>
      </c>
      <c r="I327" s="3">
        <v>10.44</v>
      </c>
      <c r="J327" s="3">
        <v>0.16</v>
      </c>
      <c r="K327" s="3">
        <v>0.21</v>
      </c>
      <c r="L327" s="3">
        <v>0.04</v>
      </c>
      <c r="M327" s="3">
        <v>12.76</v>
      </c>
      <c r="N327" s="3">
        <v>0.12</v>
      </c>
      <c r="O327" s="3">
        <v>0.3</v>
      </c>
      <c r="P327" s="3">
        <v>0.02</v>
      </c>
      <c r="Q327" s="3">
        <v>6.35</v>
      </c>
      <c r="R327" s="3">
        <v>0.13</v>
      </c>
      <c r="S327" s="3">
        <v>9.65</v>
      </c>
      <c r="T327" s="3">
        <v>0.09</v>
      </c>
      <c r="U327" s="3">
        <v>2.48</v>
      </c>
      <c r="V327" s="3">
        <v>0.25</v>
      </c>
      <c r="W327" s="3">
        <v>0.28000000000000003</v>
      </c>
      <c r="X327" s="3">
        <v>0.06</v>
      </c>
      <c r="Y327" s="3">
        <v>0.82</v>
      </c>
      <c r="Z327" s="3">
        <v>0.09</v>
      </c>
      <c r="AA327" s="3">
        <v>7.74</v>
      </c>
      <c r="AB327" s="3">
        <v>0.13</v>
      </c>
      <c r="AC327" s="3">
        <v>0.65</v>
      </c>
      <c r="AD327" s="3">
        <v>0.02</v>
      </c>
      <c r="AE327" s="3">
        <v>123</v>
      </c>
      <c r="AF327" s="3">
        <v>51</v>
      </c>
      <c r="AG327" s="3">
        <v>138</v>
      </c>
      <c r="AH327" s="3">
        <v>18</v>
      </c>
      <c r="AI327" s="3">
        <v>94</v>
      </c>
      <c r="AJ327" s="3">
        <v>19</v>
      </c>
    </row>
    <row r="328" spans="1:36" x14ac:dyDescent="0.25">
      <c r="A328" s="7">
        <v>3598</v>
      </c>
      <c r="B328" s="3" t="s">
        <v>5</v>
      </c>
      <c r="C328" s="3" t="s">
        <v>618</v>
      </c>
      <c r="D328" s="3"/>
      <c r="E328" s="3">
        <v>44.48</v>
      </c>
      <c r="F328" s="3">
        <v>0.6</v>
      </c>
      <c r="G328" s="3">
        <v>1.04</v>
      </c>
      <c r="H328" s="3">
        <v>0.1</v>
      </c>
      <c r="I328" s="3">
        <v>9.1</v>
      </c>
      <c r="J328" s="3">
        <v>0.31</v>
      </c>
      <c r="K328" s="3">
        <v>0.2</v>
      </c>
      <c r="L328" s="3">
        <v>0.04</v>
      </c>
      <c r="M328" s="3">
        <v>16.399999999999999</v>
      </c>
      <c r="N328" s="3">
        <v>0.17</v>
      </c>
      <c r="O328" s="3">
        <v>0.28000000000000003</v>
      </c>
      <c r="P328" s="3">
        <v>0.02</v>
      </c>
      <c r="Q328" s="3">
        <v>8.0500000000000007</v>
      </c>
      <c r="R328" s="3">
        <v>0.22</v>
      </c>
      <c r="S328" s="3">
        <v>5.98</v>
      </c>
      <c r="T328" s="3">
        <v>0.09</v>
      </c>
      <c r="U328" s="3">
        <v>2.3199999999999998</v>
      </c>
      <c r="V328" s="3">
        <v>0.31</v>
      </c>
      <c r="W328" s="3">
        <v>0.36</v>
      </c>
      <c r="X328" s="3">
        <v>7.0000000000000007E-2</v>
      </c>
      <c r="Y328" s="3">
        <v>0.95</v>
      </c>
      <c r="Z328" s="3">
        <v>0.11</v>
      </c>
      <c r="AA328" s="3">
        <v>9.3699999999999992</v>
      </c>
      <c r="AB328" s="3">
        <v>0.19</v>
      </c>
      <c r="AC328" s="3">
        <v>1.36</v>
      </c>
      <c r="AD328" s="3">
        <v>0.04</v>
      </c>
      <c r="AE328" s="3">
        <v>453</v>
      </c>
      <c r="AF328" s="3">
        <v>76</v>
      </c>
      <c r="AG328" s="3">
        <v>114</v>
      </c>
      <c r="AH328" s="3">
        <v>25</v>
      </c>
      <c r="AI328" s="3">
        <v>167</v>
      </c>
      <c r="AJ328" s="3">
        <v>26</v>
      </c>
    </row>
    <row r="329" spans="1:36" x14ac:dyDescent="0.25">
      <c r="A329" s="7">
        <v>3603</v>
      </c>
      <c r="B329" s="3" t="s">
        <v>4</v>
      </c>
      <c r="C329" s="3" t="s">
        <v>619</v>
      </c>
      <c r="D329" s="3"/>
      <c r="E329" s="3">
        <v>46.7</v>
      </c>
      <c r="F329" s="3">
        <v>0.35</v>
      </c>
      <c r="G329" s="3">
        <v>1.2</v>
      </c>
      <c r="H329" s="3">
        <v>0.08</v>
      </c>
      <c r="I329" s="3">
        <v>11</v>
      </c>
      <c r="J329" s="3">
        <v>0.13</v>
      </c>
      <c r="K329" s="3">
        <v>0.21</v>
      </c>
      <c r="L329" s="3">
        <v>0.03</v>
      </c>
      <c r="M329" s="3">
        <v>16.86</v>
      </c>
      <c r="N329" s="3">
        <v>0.1</v>
      </c>
      <c r="O329" s="3">
        <v>0.28999999999999998</v>
      </c>
      <c r="P329" s="3">
        <v>0.01</v>
      </c>
      <c r="Q329" s="3">
        <v>7.95</v>
      </c>
      <c r="R329" s="3">
        <v>0.1</v>
      </c>
      <c r="S329" s="3">
        <v>7.09</v>
      </c>
      <c r="T329" s="3">
        <v>0.06</v>
      </c>
      <c r="U329" s="3">
        <v>2.15</v>
      </c>
      <c r="V329" s="3">
        <v>0.19</v>
      </c>
      <c r="W329" s="3">
        <v>0.32</v>
      </c>
      <c r="X329" s="3">
        <v>0.06</v>
      </c>
      <c r="Y329" s="3">
        <v>0.98</v>
      </c>
      <c r="Z329" s="3">
        <v>0.08</v>
      </c>
      <c r="AA329" s="3">
        <v>4.66</v>
      </c>
      <c r="AB329" s="3">
        <v>0.08</v>
      </c>
      <c r="AC329" s="3">
        <v>0.53</v>
      </c>
      <c r="AD329" s="3">
        <v>0.02</v>
      </c>
      <c r="AE329" s="3">
        <v>449</v>
      </c>
      <c r="AF329" s="3">
        <v>56</v>
      </c>
      <c r="AG329" s="3">
        <v>101</v>
      </c>
      <c r="AH329" s="3">
        <v>15</v>
      </c>
      <c r="AI329" s="3">
        <v>15</v>
      </c>
      <c r="AJ329" s="3">
        <v>16</v>
      </c>
    </row>
    <row r="330" spans="1:36" x14ac:dyDescent="0.25">
      <c r="A330" s="7">
        <v>3616</v>
      </c>
      <c r="B330" s="3" t="s">
        <v>4</v>
      </c>
      <c r="C330" s="3" t="s">
        <v>620</v>
      </c>
      <c r="D330" s="3"/>
      <c r="E330" s="3">
        <v>46.1</v>
      </c>
      <c r="F330" s="3">
        <v>0.41</v>
      </c>
      <c r="G330" s="3">
        <v>1.23</v>
      </c>
      <c r="H330" s="3">
        <v>7.0000000000000007E-2</v>
      </c>
      <c r="I330" s="3">
        <v>11.01</v>
      </c>
      <c r="J330" s="3">
        <v>0.12</v>
      </c>
      <c r="K330" s="3">
        <v>0.2</v>
      </c>
      <c r="L330" s="3">
        <v>0.03</v>
      </c>
      <c r="M330" s="3">
        <v>17.47</v>
      </c>
      <c r="N330" s="3">
        <v>0.11</v>
      </c>
      <c r="O330" s="3">
        <v>0.31</v>
      </c>
      <c r="P330" s="3">
        <v>0.01</v>
      </c>
      <c r="Q330" s="3">
        <v>7.77</v>
      </c>
      <c r="R330" s="3">
        <v>0.1</v>
      </c>
      <c r="S330" s="3">
        <v>6.77</v>
      </c>
      <c r="T330" s="3">
        <v>0.05</v>
      </c>
      <c r="U330" s="3">
        <v>2.19</v>
      </c>
      <c r="V330" s="3">
        <v>0.18</v>
      </c>
      <c r="W330" s="3">
        <v>0.28000000000000003</v>
      </c>
      <c r="X330" s="3">
        <v>0.06</v>
      </c>
      <c r="Y330" s="3">
        <v>0.65</v>
      </c>
      <c r="Z330" s="3">
        <v>7.0000000000000007E-2</v>
      </c>
      <c r="AA330" s="3">
        <v>5.35</v>
      </c>
      <c r="AB330" s="3">
        <v>7.0000000000000007E-2</v>
      </c>
      <c r="AC330" s="3">
        <v>0.61</v>
      </c>
      <c r="AD330" s="3">
        <v>0.01</v>
      </c>
      <c r="AE330" s="3">
        <v>438</v>
      </c>
      <c r="AF330" s="3">
        <v>43</v>
      </c>
      <c r="AG330" s="3">
        <v>107</v>
      </c>
      <c r="AH330" s="3">
        <v>10</v>
      </c>
      <c r="AI330" s="3">
        <v>58</v>
      </c>
      <c r="AJ330" s="3">
        <v>15</v>
      </c>
    </row>
    <row r="331" spans="1:36" x14ac:dyDescent="0.25">
      <c r="A331" s="7">
        <v>3630</v>
      </c>
      <c r="B331" s="3" t="s">
        <v>3</v>
      </c>
      <c r="C331" s="3" t="s">
        <v>621</v>
      </c>
      <c r="D331" s="3"/>
      <c r="E331" s="3">
        <v>46.73</v>
      </c>
      <c r="F331" s="3">
        <v>0.5</v>
      </c>
      <c r="G331" s="3">
        <v>1.1200000000000001</v>
      </c>
      <c r="H331" s="3">
        <v>0.09</v>
      </c>
      <c r="I331" s="3">
        <v>9.67</v>
      </c>
      <c r="J331" s="3">
        <v>0.16</v>
      </c>
      <c r="K331" s="3">
        <v>0.32</v>
      </c>
      <c r="L331" s="3">
        <v>0.04</v>
      </c>
      <c r="M331" s="3">
        <v>16.79</v>
      </c>
      <c r="N331" s="3">
        <v>0.14000000000000001</v>
      </c>
      <c r="O331" s="3">
        <v>0.34</v>
      </c>
      <c r="P331" s="3">
        <v>0.02</v>
      </c>
      <c r="Q331" s="3">
        <v>7.19</v>
      </c>
      <c r="R331" s="3">
        <v>0.13</v>
      </c>
      <c r="S331" s="3">
        <v>7.52</v>
      </c>
      <c r="T331" s="3">
        <v>0.08</v>
      </c>
      <c r="U331" s="3">
        <v>2.2999999999999998</v>
      </c>
      <c r="V331" s="3">
        <v>0.24</v>
      </c>
      <c r="W331" s="3">
        <v>0.55000000000000004</v>
      </c>
      <c r="X331" s="3">
        <v>7.0000000000000007E-2</v>
      </c>
      <c r="Y331" s="3">
        <v>0.97</v>
      </c>
      <c r="Z331" s="3">
        <v>0.09</v>
      </c>
      <c r="AA331" s="3">
        <v>5.61</v>
      </c>
      <c r="AB331" s="3">
        <v>0.1</v>
      </c>
      <c r="AC331" s="3">
        <v>0.78</v>
      </c>
      <c r="AD331" s="3">
        <v>0.02</v>
      </c>
      <c r="AE331" s="3">
        <v>285</v>
      </c>
      <c r="AF331" s="3">
        <v>56</v>
      </c>
      <c r="AG331" s="3">
        <v>226</v>
      </c>
      <c r="AH331" s="3">
        <v>21</v>
      </c>
      <c r="AI331" s="3">
        <v>93</v>
      </c>
      <c r="AJ331" s="3">
        <v>20</v>
      </c>
    </row>
    <row r="332" spans="1:36" x14ac:dyDescent="0.25">
      <c r="A332" s="7">
        <v>3657</v>
      </c>
      <c r="B332" s="3" t="s">
        <v>4</v>
      </c>
      <c r="C332" s="3" t="s">
        <v>622</v>
      </c>
      <c r="D332" s="3"/>
      <c r="E332" s="3">
        <v>45.29</v>
      </c>
      <c r="F332" s="3">
        <v>0.37</v>
      </c>
      <c r="G332" s="3">
        <v>1.05</v>
      </c>
      <c r="H332" s="3">
        <v>7.0000000000000007E-2</v>
      </c>
      <c r="I332" s="3">
        <v>9.43</v>
      </c>
      <c r="J332" s="3">
        <v>0.15</v>
      </c>
      <c r="K332" s="3">
        <v>0.23</v>
      </c>
      <c r="L332" s="3">
        <v>0.03</v>
      </c>
      <c r="M332" s="3">
        <v>17.36</v>
      </c>
      <c r="N332" s="3">
        <v>0.09</v>
      </c>
      <c r="O332" s="3">
        <v>0.28999999999999998</v>
      </c>
      <c r="P332" s="3">
        <v>0.01</v>
      </c>
      <c r="Q332" s="3">
        <v>7.25</v>
      </c>
      <c r="R332" s="3">
        <v>0.1</v>
      </c>
      <c r="S332" s="3">
        <v>6.85</v>
      </c>
      <c r="T332" s="3">
        <v>0.05</v>
      </c>
      <c r="U332" s="3">
        <v>2.34</v>
      </c>
      <c r="V332" s="3">
        <v>0.2</v>
      </c>
      <c r="W332" s="3">
        <v>0.45</v>
      </c>
      <c r="X332" s="3">
        <v>0.06</v>
      </c>
      <c r="Y332" s="3">
        <v>1.07</v>
      </c>
      <c r="Z332" s="3">
        <v>0.08</v>
      </c>
      <c r="AA332" s="3">
        <v>7.38</v>
      </c>
      <c r="AB332" s="3">
        <v>0.09</v>
      </c>
      <c r="AC332" s="3">
        <v>0.92</v>
      </c>
      <c r="AD332" s="3">
        <v>0.02</v>
      </c>
      <c r="AE332" s="3">
        <v>364</v>
      </c>
      <c r="AF332" s="3">
        <v>49</v>
      </c>
      <c r="AG332" s="3">
        <v>148</v>
      </c>
      <c r="AH332" s="3">
        <v>13</v>
      </c>
      <c r="AI332" s="3">
        <v>273</v>
      </c>
      <c r="AJ332" s="3">
        <v>19</v>
      </c>
    </row>
    <row r="333" spans="1:36" x14ac:dyDescent="0.25">
      <c r="A333" s="7">
        <v>3664</v>
      </c>
      <c r="B333" s="3" t="s">
        <v>4</v>
      </c>
      <c r="C333" s="3" t="s">
        <v>623</v>
      </c>
      <c r="D333" s="3"/>
      <c r="E333" s="3">
        <v>42.78</v>
      </c>
      <c r="F333" s="3">
        <v>0.4</v>
      </c>
      <c r="G333" s="3">
        <v>0.94</v>
      </c>
      <c r="H333" s="3">
        <v>7.0000000000000007E-2</v>
      </c>
      <c r="I333" s="3">
        <v>8.5</v>
      </c>
      <c r="J333" s="3">
        <v>0.12</v>
      </c>
      <c r="K333" s="3">
        <v>0.27</v>
      </c>
      <c r="L333" s="3">
        <v>0.03</v>
      </c>
      <c r="M333" s="3">
        <v>15.08</v>
      </c>
      <c r="N333" s="3">
        <v>0.11</v>
      </c>
      <c r="O333" s="3">
        <v>0.34</v>
      </c>
      <c r="P333" s="3">
        <v>0.01</v>
      </c>
      <c r="Q333" s="3">
        <v>6.98</v>
      </c>
      <c r="R333" s="3">
        <v>0.1</v>
      </c>
      <c r="S333" s="3">
        <v>9.42</v>
      </c>
      <c r="T333" s="3">
        <v>7.0000000000000007E-2</v>
      </c>
      <c r="U333" s="3">
        <v>2.15</v>
      </c>
      <c r="V333" s="3">
        <v>0.2</v>
      </c>
      <c r="W333" s="3">
        <v>0.49</v>
      </c>
      <c r="X333" s="3">
        <v>0.06</v>
      </c>
      <c r="Y333" s="3">
        <v>1.01</v>
      </c>
      <c r="Z333" s="3">
        <v>0.08</v>
      </c>
      <c r="AA333" s="3">
        <v>11</v>
      </c>
      <c r="AB333" s="3">
        <v>0.13</v>
      </c>
      <c r="AC333" s="3">
        <v>0.95</v>
      </c>
      <c r="AD333" s="3">
        <v>0.02</v>
      </c>
      <c r="AE333" s="3">
        <v>312</v>
      </c>
      <c r="AF333" s="3">
        <v>47</v>
      </c>
      <c r="AG333" s="3">
        <v>321</v>
      </c>
      <c r="AH333" s="3">
        <v>17</v>
      </c>
      <c r="AI333" s="3">
        <v>75</v>
      </c>
      <c r="AJ333" s="3">
        <v>17</v>
      </c>
    </row>
    <row r="334" spans="1:36" x14ac:dyDescent="0.25">
      <c r="A334" s="7">
        <v>3666</v>
      </c>
      <c r="B334" s="3" t="s">
        <v>4</v>
      </c>
      <c r="C334" s="3" t="s">
        <v>624</v>
      </c>
      <c r="D334" s="3"/>
      <c r="E334" s="3">
        <v>41.95</v>
      </c>
      <c r="F334" s="3">
        <v>0.4</v>
      </c>
      <c r="G334" s="3">
        <v>0.92</v>
      </c>
      <c r="H334" s="3">
        <v>7.0000000000000007E-2</v>
      </c>
      <c r="I334" s="3">
        <v>8.25</v>
      </c>
      <c r="J334" s="3">
        <v>0.11</v>
      </c>
      <c r="K334" s="3">
        <v>0.26</v>
      </c>
      <c r="L334" s="3">
        <v>0.03</v>
      </c>
      <c r="M334" s="3">
        <v>14.83</v>
      </c>
      <c r="N334" s="3">
        <v>0.11</v>
      </c>
      <c r="O334" s="3">
        <v>0.33</v>
      </c>
      <c r="P334" s="3">
        <v>0.01</v>
      </c>
      <c r="Q334" s="3">
        <v>6.86</v>
      </c>
      <c r="R334" s="3">
        <v>0.1</v>
      </c>
      <c r="S334" s="3">
        <v>10</v>
      </c>
      <c r="T334" s="3">
        <v>7.0000000000000007E-2</v>
      </c>
      <c r="U334" s="3">
        <v>2.0299999999999998</v>
      </c>
      <c r="V334" s="3">
        <v>0.2</v>
      </c>
      <c r="W334" s="3">
        <v>0.45</v>
      </c>
      <c r="X334" s="3">
        <v>0.06</v>
      </c>
      <c r="Y334" s="3">
        <v>1.06</v>
      </c>
      <c r="Z334" s="3">
        <v>0.08</v>
      </c>
      <c r="AA334" s="3">
        <v>12.04</v>
      </c>
      <c r="AB334" s="3">
        <v>0.14000000000000001</v>
      </c>
      <c r="AC334" s="3">
        <v>0.97</v>
      </c>
      <c r="AD334" s="3">
        <v>0.02</v>
      </c>
      <c r="AE334" s="3">
        <v>269</v>
      </c>
      <c r="AF334" s="3">
        <v>46</v>
      </c>
      <c r="AG334" s="3">
        <v>302</v>
      </c>
      <c r="AH334" s="3">
        <v>16</v>
      </c>
      <c r="AI334" s="3">
        <v>81</v>
      </c>
      <c r="AJ334" s="3">
        <v>17</v>
      </c>
    </row>
    <row r="335" spans="1:36" x14ac:dyDescent="0.25">
      <c r="A335" s="7">
        <v>3667</v>
      </c>
      <c r="B335" s="3" t="s">
        <v>4</v>
      </c>
      <c r="C335" s="3" t="s">
        <v>625</v>
      </c>
      <c r="D335" s="3"/>
      <c r="E335" s="3">
        <v>45.36</v>
      </c>
      <c r="F335" s="3">
        <v>0.53</v>
      </c>
      <c r="G335" s="3">
        <v>1.1499999999999999</v>
      </c>
      <c r="H335" s="3">
        <v>0.09</v>
      </c>
      <c r="I335" s="3">
        <v>8.89</v>
      </c>
      <c r="J335" s="3">
        <v>0.18</v>
      </c>
      <c r="K335" s="3">
        <v>0.27</v>
      </c>
      <c r="L335" s="3">
        <v>0.04</v>
      </c>
      <c r="M335" s="3">
        <v>17.61</v>
      </c>
      <c r="N335" s="3">
        <v>0.16</v>
      </c>
      <c r="O335" s="3">
        <v>0.36</v>
      </c>
      <c r="P335" s="3">
        <v>0.02</v>
      </c>
      <c r="Q335" s="3">
        <v>7.14</v>
      </c>
      <c r="R335" s="3">
        <v>0.15</v>
      </c>
      <c r="S335" s="3">
        <v>7.17</v>
      </c>
      <c r="T335" s="3">
        <v>0.09</v>
      </c>
      <c r="U335" s="3">
        <v>2.0299999999999998</v>
      </c>
      <c r="V335" s="3">
        <v>0.28000000000000003</v>
      </c>
      <c r="W335" s="3">
        <v>0.5</v>
      </c>
      <c r="X335" s="3">
        <v>7.0000000000000007E-2</v>
      </c>
      <c r="Y335" s="3">
        <v>1</v>
      </c>
      <c r="Z335" s="3">
        <v>0.1</v>
      </c>
      <c r="AA335" s="3">
        <v>7.36</v>
      </c>
      <c r="AB335" s="3">
        <v>0.14000000000000001</v>
      </c>
      <c r="AC335" s="3">
        <v>1.05</v>
      </c>
      <c r="AD335" s="3">
        <v>0.03</v>
      </c>
      <c r="AE335" s="3">
        <v>365</v>
      </c>
      <c r="AF335" s="3">
        <v>73</v>
      </c>
      <c r="AG335" s="3">
        <v>361</v>
      </c>
      <c r="AH335" s="3">
        <v>30</v>
      </c>
      <c r="AI335" s="3">
        <v>102</v>
      </c>
      <c r="AJ335" s="3">
        <v>24</v>
      </c>
    </row>
    <row r="336" spans="1:36" x14ac:dyDescent="0.25">
      <c r="A336" s="7">
        <v>3671</v>
      </c>
      <c r="B336" s="3" t="s">
        <v>5</v>
      </c>
      <c r="C336" s="3" t="s">
        <v>626</v>
      </c>
      <c r="D336" s="3"/>
      <c r="E336" s="3">
        <v>44.92</v>
      </c>
      <c r="F336" s="3">
        <v>0.46</v>
      </c>
      <c r="G336" s="3">
        <v>0.98</v>
      </c>
      <c r="H336" s="3">
        <v>7.0000000000000007E-2</v>
      </c>
      <c r="I336" s="3">
        <v>8.84</v>
      </c>
      <c r="J336" s="3">
        <v>0.22</v>
      </c>
      <c r="K336" s="3">
        <v>0.23</v>
      </c>
      <c r="L336" s="3">
        <v>0.03</v>
      </c>
      <c r="M336" s="3">
        <v>17.579999999999998</v>
      </c>
      <c r="N336" s="3">
        <v>0.11</v>
      </c>
      <c r="O336" s="3">
        <v>0.24</v>
      </c>
      <c r="P336" s="3">
        <v>0.01</v>
      </c>
      <c r="Q336" s="3">
        <v>7.78</v>
      </c>
      <c r="R336" s="3">
        <v>0.15</v>
      </c>
      <c r="S336" s="3">
        <v>6.38</v>
      </c>
      <c r="T336" s="3">
        <v>0.06</v>
      </c>
      <c r="U336" s="3">
        <v>2.2999999999999998</v>
      </c>
      <c r="V336" s="3">
        <v>0.23</v>
      </c>
      <c r="W336" s="3">
        <v>0.48</v>
      </c>
      <c r="X336" s="3">
        <v>0.06</v>
      </c>
      <c r="Y336" s="3">
        <v>1.17</v>
      </c>
      <c r="Z336" s="3">
        <v>0.1</v>
      </c>
      <c r="AA336" s="3">
        <v>7.1</v>
      </c>
      <c r="AB336" s="3">
        <v>0.11</v>
      </c>
      <c r="AC336" s="3">
        <v>1.92</v>
      </c>
      <c r="AD336" s="3">
        <v>0.03</v>
      </c>
      <c r="AE336" s="3">
        <v>293</v>
      </c>
      <c r="AF336" s="3">
        <v>52</v>
      </c>
      <c r="AG336" s="3">
        <v>162</v>
      </c>
      <c r="AH336" s="3">
        <v>16</v>
      </c>
      <c r="AI336" s="3">
        <v>98</v>
      </c>
      <c r="AJ336" s="3">
        <v>18</v>
      </c>
    </row>
    <row r="337" spans="1:36" x14ac:dyDescent="0.25">
      <c r="A337" s="7">
        <v>3675</v>
      </c>
      <c r="B337" s="3" t="s">
        <v>4</v>
      </c>
      <c r="C337" s="3" t="s">
        <v>627</v>
      </c>
      <c r="D337" s="3"/>
      <c r="E337" s="3">
        <v>45.99</v>
      </c>
      <c r="F337" s="3">
        <v>0.68</v>
      </c>
      <c r="G337" s="3">
        <v>1.1499999999999999</v>
      </c>
      <c r="H337" s="3">
        <v>0.12</v>
      </c>
      <c r="I337" s="3">
        <v>9.89</v>
      </c>
      <c r="J337" s="3">
        <v>0.35</v>
      </c>
      <c r="K337" s="3">
        <v>0.2</v>
      </c>
      <c r="L337" s="3">
        <v>0.05</v>
      </c>
      <c r="M337" s="3">
        <v>16.489999999999998</v>
      </c>
      <c r="N337" s="3">
        <v>0.19</v>
      </c>
      <c r="O337" s="3">
        <v>0.51</v>
      </c>
      <c r="P337" s="3">
        <v>0.03</v>
      </c>
      <c r="Q337" s="3">
        <v>6.98</v>
      </c>
      <c r="R337" s="3">
        <v>0.24</v>
      </c>
      <c r="S337" s="3">
        <v>7.72</v>
      </c>
      <c r="T337" s="3">
        <v>0.11</v>
      </c>
      <c r="U337" s="3">
        <v>1.9</v>
      </c>
      <c r="V337" s="3">
        <v>0.33</v>
      </c>
      <c r="W337" s="3">
        <v>0.51</v>
      </c>
      <c r="X337" s="3">
        <v>7.0000000000000007E-2</v>
      </c>
      <c r="Y337" s="3">
        <v>1.0900000000000001</v>
      </c>
      <c r="Z337" s="3">
        <v>0.13</v>
      </c>
      <c r="AA337" s="3">
        <v>6.4</v>
      </c>
      <c r="AB337" s="3">
        <v>0.17</v>
      </c>
      <c r="AC337" s="3">
        <v>1.06</v>
      </c>
      <c r="AD337" s="3">
        <v>0.04</v>
      </c>
      <c r="AE337" s="3">
        <v>193</v>
      </c>
      <c r="AF337" s="3">
        <v>89</v>
      </c>
      <c r="AG337" s="3">
        <v>295</v>
      </c>
      <c r="AH337" s="3">
        <v>40</v>
      </c>
      <c r="AI337" s="3">
        <v>69</v>
      </c>
      <c r="AJ337" s="3">
        <v>27</v>
      </c>
    </row>
    <row r="338" spans="1:36" x14ac:dyDescent="0.25">
      <c r="A338" s="7">
        <v>3676</v>
      </c>
      <c r="B338" s="3" t="s">
        <v>4</v>
      </c>
      <c r="C338" s="3" t="s">
        <v>628</v>
      </c>
      <c r="D338" s="3"/>
      <c r="E338" s="3">
        <v>46.21</v>
      </c>
      <c r="F338" s="3">
        <v>0.46</v>
      </c>
      <c r="G338" s="3">
        <v>1.41</v>
      </c>
      <c r="H338" s="3">
        <v>0.09</v>
      </c>
      <c r="I338" s="3">
        <v>11.23</v>
      </c>
      <c r="J338" s="3">
        <v>0.15</v>
      </c>
      <c r="K338" s="3">
        <v>0.14000000000000001</v>
      </c>
      <c r="L338" s="3">
        <v>0.04</v>
      </c>
      <c r="M338" s="3">
        <v>15.28</v>
      </c>
      <c r="N338" s="3">
        <v>0.12</v>
      </c>
      <c r="O338" s="3">
        <v>0.27</v>
      </c>
      <c r="P338" s="3">
        <v>0.01</v>
      </c>
      <c r="Q338" s="3">
        <v>6.21</v>
      </c>
      <c r="R338" s="3">
        <v>0.12</v>
      </c>
      <c r="S338" s="3">
        <v>8.17</v>
      </c>
      <c r="T338" s="3">
        <v>7.0000000000000007E-2</v>
      </c>
      <c r="U338" s="3">
        <v>2</v>
      </c>
      <c r="V338" s="3">
        <v>0.22</v>
      </c>
      <c r="W338" s="3">
        <v>0.44</v>
      </c>
      <c r="X338" s="3">
        <v>0.06</v>
      </c>
      <c r="Y338" s="3">
        <v>1.61</v>
      </c>
      <c r="Z338" s="3">
        <v>0.09</v>
      </c>
      <c r="AA338" s="3">
        <v>6.12</v>
      </c>
      <c r="AB338" s="3">
        <v>0.1</v>
      </c>
      <c r="AC338" s="3">
        <v>0.83</v>
      </c>
      <c r="AD338" s="3">
        <v>0.02</v>
      </c>
      <c r="AE338" s="3">
        <v>292</v>
      </c>
      <c r="AF338" s="3">
        <v>57</v>
      </c>
      <c r="AG338" s="3">
        <v>151</v>
      </c>
      <c r="AH338" s="3">
        <v>18</v>
      </c>
      <c r="AI338" s="3">
        <v>69</v>
      </c>
      <c r="AJ338" s="3">
        <v>19</v>
      </c>
    </row>
    <row r="339" spans="1:36" x14ac:dyDescent="0.25">
      <c r="A339" s="7">
        <v>3679</v>
      </c>
      <c r="B339" s="3" t="s">
        <v>4</v>
      </c>
      <c r="C339" s="3" t="s">
        <v>629</v>
      </c>
      <c r="D339" s="3"/>
      <c r="E339" s="3">
        <v>45</v>
      </c>
      <c r="F339" s="3">
        <v>0.44</v>
      </c>
      <c r="G339" s="3">
        <v>1.0900000000000001</v>
      </c>
      <c r="H339" s="3">
        <v>7.0000000000000007E-2</v>
      </c>
      <c r="I339" s="3">
        <v>9.08</v>
      </c>
      <c r="J339" s="3">
        <v>0.13</v>
      </c>
      <c r="K339" s="3">
        <v>0.34</v>
      </c>
      <c r="L339" s="3">
        <v>0.04</v>
      </c>
      <c r="M339" s="3">
        <v>18.2</v>
      </c>
      <c r="N339" s="3">
        <v>0.13</v>
      </c>
      <c r="O339" s="3">
        <v>0.36</v>
      </c>
      <c r="P339" s="3">
        <v>0.01</v>
      </c>
      <c r="Q339" s="3">
        <v>7.14</v>
      </c>
      <c r="R339" s="3">
        <v>0.11</v>
      </c>
      <c r="S339" s="3">
        <v>7.24</v>
      </c>
      <c r="T339" s="3">
        <v>0.06</v>
      </c>
      <c r="U339" s="3">
        <v>2.21</v>
      </c>
      <c r="V339" s="3">
        <v>0.21</v>
      </c>
      <c r="W339" s="3">
        <v>0.52</v>
      </c>
      <c r="X339" s="3">
        <v>0.06</v>
      </c>
      <c r="Y339" s="3">
        <v>1</v>
      </c>
      <c r="Z339" s="3">
        <v>0.08</v>
      </c>
      <c r="AA339" s="3">
        <v>6.88</v>
      </c>
      <c r="AB339" s="3">
        <v>0.1</v>
      </c>
      <c r="AC339" s="3">
        <v>0.88</v>
      </c>
      <c r="AD339" s="3">
        <v>0.02</v>
      </c>
      <c r="AE339" s="3">
        <v>352</v>
      </c>
      <c r="AF339" s="3">
        <v>52</v>
      </c>
      <c r="AG339" s="3">
        <v>331</v>
      </c>
      <c r="AH339" s="3">
        <v>19</v>
      </c>
      <c r="AI339" s="3">
        <v>95</v>
      </c>
      <c r="AJ339" s="3">
        <v>18</v>
      </c>
    </row>
    <row r="340" spans="1:36" x14ac:dyDescent="0.25">
      <c r="A340" s="7">
        <v>3700</v>
      </c>
      <c r="B340" s="3" t="s">
        <v>4</v>
      </c>
      <c r="C340" s="3" t="s">
        <v>630</v>
      </c>
      <c r="D340" s="3"/>
      <c r="E340" s="3">
        <v>45.04</v>
      </c>
      <c r="F340" s="3">
        <v>0.47</v>
      </c>
      <c r="G340" s="3">
        <v>1.02</v>
      </c>
      <c r="H340" s="3">
        <v>0.08</v>
      </c>
      <c r="I340" s="3">
        <v>9.07</v>
      </c>
      <c r="J340" s="3">
        <v>0.14000000000000001</v>
      </c>
      <c r="K340" s="3">
        <v>0.27</v>
      </c>
      <c r="L340" s="3">
        <v>0.04</v>
      </c>
      <c r="M340" s="3">
        <v>17.37</v>
      </c>
      <c r="N340" s="3">
        <v>0.15</v>
      </c>
      <c r="O340" s="3">
        <v>0.27</v>
      </c>
      <c r="P340" s="3">
        <v>0.02</v>
      </c>
      <c r="Q340" s="3">
        <v>7.42</v>
      </c>
      <c r="R340" s="3">
        <v>0.13</v>
      </c>
      <c r="S340" s="3">
        <v>7.16</v>
      </c>
      <c r="T340" s="3">
        <v>0.08</v>
      </c>
      <c r="U340" s="3">
        <v>2.2400000000000002</v>
      </c>
      <c r="V340" s="3">
        <v>0.24</v>
      </c>
      <c r="W340" s="3">
        <v>0.5</v>
      </c>
      <c r="X340" s="3">
        <v>0.06</v>
      </c>
      <c r="Y340" s="3">
        <v>1.1000000000000001</v>
      </c>
      <c r="Z340" s="3">
        <v>0.09</v>
      </c>
      <c r="AA340" s="3">
        <v>7.21</v>
      </c>
      <c r="AB340" s="3">
        <v>0.12</v>
      </c>
      <c r="AC340" s="3">
        <v>1.23</v>
      </c>
      <c r="AD340" s="3">
        <v>0.03</v>
      </c>
      <c r="AE340" s="3">
        <v>415</v>
      </c>
      <c r="AF340" s="3">
        <v>62</v>
      </c>
      <c r="AG340" s="3">
        <v>273</v>
      </c>
      <c r="AH340" s="3">
        <v>24</v>
      </c>
      <c r="AI340" s="3">
        <v>96</v>
      </c>
      <c r="AJ340" s="3">
        <v>20</v>
      </c>
    </row>
    <row r="341" spans="1:36" x14ac:dyDescent="0.25">
      <c r="A341" s="7">
        <v>3707</v>
      </c>
      <c r="B341" s="3" t="s">
        <v>4</v>
      </c>
      <c r="C341" s="3" t="s">
        <v>631</v>
      </c>
      <c r="D341" s="3"/>
      <c r="E341" s="3">
        <v>45.42</v>
      </c>
      <c r="F341" s="3">
        <v>0.41</v>
      </c>
      <c r="G341" s="3">
        <v>1.1100000000000001</v>
      </c>
      <c r="H341" s="3">
        <v>7.0000000000000007E-2</v>
      </c>
      <c r="I341" s="3">
        <v>9.18</v>
      </c>
      <c r="J341" s="3">
        <v>0.11</v>
      </c>
      <c r="K341" s="3">
        <v>0.28000000000000003</v>
      </c>
      <c r="L341" s="3">
        <v>0.03</v>
      </c>
      <c r="M341" s="3">
        <v>18.03</v>
      </c>
      <c r="N341" s="3">
        <v>0.12</v>
      </c>
      <c r="O341" s="3">
        <v>0.25</v>
      </c>
      <c r="P341" s="3">
        <v>0.01</v>
      </c>
      <c r="Q341" s="3">
        <v>7.42</v>
      </c>
      <c r="R341" s="3">
        <v>0.1</v>
      </c>
      <c r="S341" s="3">
        <v>6.56</v>
      </c>
      <c r="T341" s="3">
        <v>0.05</v>
      </c>
      <c r="U341" s="3">
        <v>2.29</v>
      </c>
      <c r="V341" s="3">
        <v>0.2</v>
      </c>
      <c r="W341" s="3">
        <v>0.55000000000000004</v>
      </c>
      <c r="X341" s="3">
        <v>0.06</v>
      </c>
      <c r="Y341" s="3">
        <v>1.01</v>
      </c>
      <c r="Z341" s="3">
        <v>0.08</v>
      </c>
      <c r="AA341" s="3">
        <v>6.69</v>
      </c>
      <c r="AB341" s="3">
        <v>0.08</v>
      </c>
      <c r="AC341" s="3">
        <v>1.1200000000000001</v>
      </c>
      <c r="AD341" s="3">
        <v>0.02</v>
      </c>
      <c r="AE341" s="3">
        <v>391</v>
      </c>
      <c r="AF341" s="3">
        <v>45</v>
      </c>
      <c r="AG341" s="3">
        <v>372</v>
      </c>
      <c r="AH341" s="3">
        <v>16</v>
      </c>
      <c r="AI341" s="3">
        <v>71</v>
      </c>
      <c r="AJ341" s="3">
        <v>17</v>
      </c>
    </row>
    <row r="342" spans="1:36" x14ac:dyDescent="0.25">
      <c r="A342" s="7">
        <v>3708</v>
      </c>
      <c r="B342" s="3" t="s">
        <v>4</v>
      </c>
      <c r="C342" s="3" t="s">
        <v>632</v>
      </c>
      <c r="D342" s="3"/>
      <c r="E342" s="3">
        <v>45.88</v>
      </c>
      <c r="F342" s="3">
        <v>0.48</v>
      </c>
      <c r="G342" s="3">
        <v>1.05</v>
      </c>
      <c r="H342" s="3">
        <v>0.08</v>
      </c>
      <c r="I342" s="3">
        <v>9.1</v>
      </c>
      <c r="J342" s="3">
        <v>0.15</v>
      </c>
      <c r="K342" s="3">
        <v>0.19</v>
      </c>
      <c r="L342" s="3">
        <v>0.04</v>
      </c>
      <c r="M342" s="3">
        <v>17.14</v>
      </c>
      <c r="N342" s="3">
        <v>0.14000000000000001</v>
      </c>
      <c r="O342" s="3">
        <v>0.14000000000000001</v>
      </c>
      <c r="P342" s="3">
        <v>0.01</v>
      </c>
      <c r="Q342" s="3">
        <v>8.1999999999999993</v>
      </c>
      <c r="R342" s="3">
        <v>0.14000000000000001</v>
      </c>
      <c r="S342" s="3">
        <v>6.2</v>
      </c>
      <c r="T342" s="3">
        <v>7.0000000000000007E-2</v>
      </c>
      <c r="U342" s="3">
        <v>2.13</v>
      </c>
      <c r="V342" s="3">
        <v>0.24</v>
      </c>
      <c r="W342" s="3">
        <v>0.41</v>
      </c>
      <c r="X342" s="3">
        <v>0.06</v>
      </c>
      <c r="Y342" s="3">
        <v>1.1100000000000001</v>
      </c>
      <c r="Z342" s="3">
        <v>0.09</v>
      </c>
      <c r="AA342" s="3">
        <v>7.18</v>
      </c>
      <c r="AB342" s="3">
        <v>0.12</v>
      </c>
      <c r="AC342" s="3">
        <v>1.19</v>
      </c>
      <c r="AD342" s="3">
        <v>0.03</v>
      </c>
      <c r="AE342" s="3">
        <v>371</v>
      </c>
      <c r="AF342" s="3">
        <v>59</v>
      </c>
      <c r="AG342" s="3">
        <v>132</v>
      </c>
      <c r="AH342" s="3">
        <v>18</v>
      </c>
      <c r="AI342" s="3">
        <v>117</v>
      </c>
      <c r="AJ342" s="3">
        <v>21</v>
      </c>
    </row>
    <row r="343" spans="1:36" x14ac:dyDescent="0.25">
      <c r="A343" s="7">
        <v>3709</v>
      </c>
      <c r="B343" s="3" t="s">
        <v>4</v>
      </c>
      <c r="C343" s="3" t="s">
        <v>633</v>
      </c>
      <c r="D343" s="3"/>
      <c r="E343" s="3">
        <v>45.65</v>
      </c>
      <c r="F343" s="3">
        <v>0.45</v>
      </c>
      <c r="G343" s="3">
        <v>1.1200000000000001</v>
      </c>
      <c r="H343" s="3">
        <v>0.08</v>
      </c>
      <c r="I343" s="3">
        <v>9.25</v>
      </c>
      <c r="J343" s="3">
        <v>0.22</v>
      </c>
      <c r="K343" s="3">
        <v>0.24</v>
      </c>
      <c r="L343" s="3">
        <v>0.03</v>
      </c>
      <c r="M343" s="3">
        <v>17.71</v>
      </c>
      <c r="N343" s="3">
        <v>0.12</v>
      </c>
      <c r="O343" s="3">
        <v>0.23</v>
      </c>
      <c r="P343" s="3">
        <v>0.01</v>
      </c>
      <c r="Q343" s="3">
        <v>7.34</v>
      </c>
      <c r="R343" s="3">
        <v>0.14000000000000001</v>
      </c>
      <c r="S343" s="3">
        <v>6.75</v>
      </c>
      <c r="T343" s="3">
        <v>0.06</v>
      </c>
      <c r="U343" s="3">
        <v>2.2200000000000002</v>
      </c>
      <c r="V343" s="3">
        <v>0.23</v>
      </c>
      <c r="W343" s="3">
        <v>0.52</v>
      </c>
      <c r="X343" s="3">
        <v>0.06</v>
      </c>
      <c r="Y343" s="3">
        <v>1.07</v>
      </c>
      <c r="Z343" s="3">
        <v>0.09</v>
      </c>
      <c r="AA343" s="3">
        <v>6.56</v>
      </c>
      <c r="AB343" s="3">
        <v>0.09</v>
      </c>
      <c r="AC343" s="3">
        <v>1.24</v>
      </c>
      <c r="AD343" s="3">
        <v>0.02</v>
      </c>
      <c r="AE343" s="3">
        <v>305</v>
      </c>
      <c r="AF343" s="3">
        <v>50</v>
      </c>
      <c r="AG343" s="3">
        <v>325</v>
      </c>
      <c r="AH343" s="3">
        <v>18</v>
      </c>
      <c r="AI343" s="3">
        <v>87</v>
      </c>
      <c r="AJ343" s="3">
        <v>18</v>
      </c>
    </row>
    <row r="344" spans="1:36" x14ac:dyDescent="0.25">
      <c r="A344" s="7">
        <v>3720</v>
      </c>
      <c r="B344" s="3" t="s">
        <v>8</v>
      </c>
      <c r="C344" s="3" t="s">
        <v>634</v>
      </c>
      <c r="D344" s="3"/>
      <c r="E344" s="3">
        <v>46.06</v>
      </c>
      <c r="F344" s="3">
        <v>0.42</v>
      </c>
      <c r="G344" s="3">
        <v>1.1200000000000001</v>
      </c>
      <c r="H344" s="3">
        <v>7.0000000000000007E-2</v>
      </c>
      <c r="I344" s="3">
        <v>9.57</v>
      </c>
      <c r="J344" s="3">
        <v>0.12</v>
      </c>
      <c r="K344" s="3">
        <v>0.35</v>
      </c>
      <c r="L344" s="3">
        <v>0.03</v>
      </c>
      <c r="M344" s="3">
        <v>18.14</v>
      </c>
      <c r="N344" s="3">
        <v>0.12</v>
      </c>
      <c r="O344" s="3">
        <v>0.34</v>
      </c>
      <c r="P344" s="3">
        <v>0.01</v>
      </c>
      <c r="Q344" s="3">
        <v>7.21</v>
      </c>
      <c r="R344" s="3">
        <v>0.1</v>
      </c>
      <c r="S344" s="3">
        <v>7.39</v>
      </c>
      <c r="T344" s="3">
        <v>0.06</v>
      </c>
      <c r="U344" s="3">
        <v>2.34</v>
      </c>
      <c r="V344" s="3">
        <v>0.2</v>
      </c>
      <c r="W344" s="3">
        <v>0.47</v>
      </c>
      <c r="X344" s="3">
        <v>0.06</v>
      </c>
      <c r="Y344" s="3">
        <v>0.99</v>
      </c>
      <c r="Z344" s="3">
        <v>0.08</v>
      </c>
      <c r="AA344" s="3">
        <v>5.16</v>
      </c>
      <c r="AB344" s="3">
        <v>7.0000000000000007E-2</v>
      </c>
      <c r="AC344" s="3">
        <v>0.78</v>
      </c>
      <c r="AD344" s="3">
        <v>0.02</v>
      </c>
      <c r="AE344" s="3">
        <v>278</v>
      </c>
      <c r="AF344" s="3">
        <v>44</v>
      </c>
      <c r="AG344" s="3">
        <v>237</v>
      </c>
      <c r="AH344" s="3">
        <v>14</v>
      </c>
      <c r="AI344" s="3">
        <v>94</v>
      </c>
      <c r="AJ344" s="3">
        <v>17</v>
      </c>
    </row>
    <row r="345" spans="1:36" x14ac:dyDescent="0.25">
      <c r="A345" s="7">
        <v>3727</v>
      </c>
      <c r="B345" s="3" t="s">
        <v>8</v>
      </c>
      <c r="C345" s="3" t="s">
        <v>635</v>
      </c>
      <c r="D345" s="3"/>
      <c r="E345" s="3">
        <v>45.65</v>
      </c>
      <c r="F345" s="3">
        <v>0.52</v>
      </c>
      <c r="G345" s="3">
        <v>1.18</v>
      </c>
      <c r="H345" s="3">
        <v>0.08</v>
      </c>
      <c r="I345" s="3">
        <v>9.32</v>
      </c>
      <c r="J345" s="3">
        <v>0.25</v>
      </c>
      <c r="K345" s="3">
        <v>0.49</v>
      </c>
      <c r="L345" s="3">
        <v>0.04</v>
      </c>
      <c r="M345" s="3">
        <v>18.760000000000002</v>
      </c>
      <c r="N345" s="3">
        <v>0.16</v>
      </c>
      <c r="O345" s="3">
        <v>0.38</v>
      </c>
      <c r="P345" s="3">
        <v>0.02</v>
      </c>
      <c r="Q345" s="3">
        <v>7.43</v>
      </c>
      <c r="R345" s="3">
        <v>0.17</v>
      </c>
      <c r="S345" s="3">
        <v>7.22</v>
      </c>
      <c r="T345" s="3">
        <v>0.08</v>
      </c>
      <c r="U345" s="3">
        <v>2.36</v>
      </c>
      <c r="V345" s="3">
        <v>0.26</v>
      </c>
      <c r="W345" s="3">
        <v>0.48</v>
      </c>
      <c r="X345" s="3">
        <v>0.06</v>
      </c>
      <c r="Y345" s="3">
        <v>0.89</v>
      </c>
      <c r="Z345" s="3">
        <v>0.1</v>
      </c>
      <c r="AA345" s="3">
        <v>5.1100000000000003</v>
      </c>
      <c r="AB345" s="3">
        <v>0.1</v>
      </c>
      <c r="AC345" s="3">
        <v>0.64</v>
      </c>
      <c r="AD345" s="3">
        <v>0.02</v>
      </c>
      <c r="AE345" s="3">
        <v>271</v>
      </c>
      <c r="AF345" s="3">
        <v>59</v>
      </c>
      <c r="AG345" s="3">
        <v>267</v>
      </c>
      <c r="AH345" s="3">
        <v>24</v>
      </c>
      <c r="AI345" s="3">
        <v>65</v>
      </c>
      <c r="AJ345" s="3">
        <v>20</v>
      </c>
    </row>
    <row r="346" spans="1:36" x14ac:dyDescent="0.25">
      <c r="A346" s="7">
        <v>3734</v>
      </c>
      <c r="B346" s="3" t="s">
        <v>4</v>
      </c>
      <c r="C346" s="3" t="s">
        <v>636</v>
      </c>
      <c r="D346" s="3"/>
      <c r="E346" s="3">
        <v>46.01</v>
      </c>
      <c r="F346" s="3">
        <v>0.42</v>
      </c>
      <c r="G346" s="3">
        <v>1.03</v>
      </c>
      <c r="H346" s="3">
        <v>7.0000000000000007E-2</v>
      </c>
      <c r="I346" s="3">
        <v>8.3699999999999992</v>
      </c>
      <c r="J346" s="3">
        <v>0.11</v>
      </c>
      <c r="K346" s="3">
        <v>0.26</v>
      </c>
      <c r="L346" s="3">
        <v>0.03</v>
      </c>
      <c r="M346" s="3">
        <v>19.78</v>
      </c>
      <c r="N346" s="3">
        <v>0.13</v>
      </c>
      <c r="O346" s="3">
        <v>0.12</v>
      </c>
      <c r="P346" s="3">
        <v>0.01</v>
      </c>
      <c r="Q346" s="3">
        <v>5.33</v>
      </c>
      <c r="R346" s="3">
        <v>0.08</v>
      </c>
      <c r="S346" s="3">
        <v>5.75</v>
      </c>
      <c r="T346" s="3">
        <v>0.05</v>
      </c>
      <c r="U346" s="3">
        <v>2.17</v>
      </c>
      <c r="V346" s="3">
        <v>0.19</v>
      </c>
      <c r="W346" s="3">
        <v>0.7</v>
      </c>
      <c r="X346" s="3">
        <v>0.06</v>
      </c>
      <c r="Y346" s="3">
        <v>0.85</v>
      </c>
      <c r="Z346" s="3">
        <v>0.08</v>
      </c>
      <c r="AA346" s="3">
        <v>7.82</v>
      </c>
      <c r="AB346" s="3">
        <v>0.1</v>
      </c>
      <c r="AC346" s="3">
        <v>1.59</v>
      </c>
      <c r="AD346" s="3">
        <v>0.02</v>
      </c>
      <c r="AE346" s="3">
        <v>419</v>
      </c>
      <c r="AF346" s="3">
        <v>48</v>
      </c>
      <c r="AG346" s="3">
        <v>718</v>
      </c>
      <c r="AH346" s="3">
        <v>21</v>
      </c>
      <c r="AI346" s="3">
        <v>559</v>
      </c>
      <c r="AJ346" s="3">
        <v>23</v>
      </c>
    </row>
    <row r="347" spans="1:36" x14ac:dyDescent="0.25">
      <c r="A347" s="7">
        <v>3741</v>
      </c>
      <c r="B347" s="3" t="s">
        <v>4</v>
      </c>
      <c r="C347" s="3" t="s">
        <v>637</v>
      </c>
      <c r="D347" s="3"/>
      <c r="E347" s="3">
        <v>39.56</v>
      </c>
      <c r="F347" s="3">
        <v>0.44</v>
      </c>
      <c r="G347" s="3">
        <v>0.78</v>
      </c>
      <c r="H347" s="3">
        <v>0.08</v>
      </c>
      <c r="I347" s="3">
        <v>7.15</v>
      </c>
      <c r="J347" s="3">
        <v>0.16</v>
      </c>
      <c r="K347" s="3">
        <v>0.19</v>
      </c>
      <c r="L347" s="3">
        <v>0.04</v>
      </c>
      <c r="M347" s="3">
        <v>16.22</v>
      </c>
      <c r="N347" s="3">
        <v>0.14000000000000001</v>
      </c>
      <c r="O347" s="3">
        <v>0.18</v>
      </c>
      <c r="P347" s="3">
        <v>0.01</v>
      </c>
      <c r="Q347" s="3">
        <v>7.31</v>
      </c>
      <c r="R347" s="3">
        <v>0.2</v>
      </c>
      <c r="S347" s="3">
        <v>6.38</v>
      </c>
      <c r="T347" s="3">
        <v>7.0000000000000007E-2</v>
      </c>
      <c r="U347" s="3">
        <v>1.86</v>
      </c>
      <c r="V347" s="3">
        <v>0.39</v>
      </c>
      <c r="W347" s="3">
        <v>0.51</v>
      </c>
      <c r="X347" s="3">
        <v>0.06</v>
      </c>
      <c r="Y347" s="3">
        <v>1.02</v>
      </c>
      <c r="Z347" s="3">
        <v>0.1</v>
      </c>
      <c r="AA347" s="3">
        <v>17.88</v>
      </c>
      <c r="AB347" s="3">
        <v>0.23</v>
      </c>
      <c r="AC347" s="3">
        <v>0.88</v>
      </c>
      <c r="AD347" s="3">
        <v>0.03</v>
      </c>
      <c r="AE347" s="3">
        <v>311</v>
      </c>
      <c r="AF347" s="3">
        <v>58</v>
      </c>
      <c r="AG347" s="3">
        <v>276</v>
      </c>
      <c r="AH347" s="3">
        <v>22</v>
      </c>
      <c r="AI347" s="3">
        <v>114</v>
      </c>
      <c r="AJ347" s="3">
        <v>20</v>
      </c>
    </row>
    <row r="348" spans="1:36" x14ac:dyDescent="0.25">
      <c r="A348" s="7">
        <v>3742</v>
      </c>
      <c r="B348" s="3" t="s">
        <v>4</v>
      </c>
      <c r="C348" s="3" t="s">
        <v>638</v>
      </c>
      <c r="D348" s="3"/>
      <c r="E348" s="3">
        <v>42.31</v>
      </c>
      <c r="F348" s="3">
        <v>0.49</v>
      </c>
      <c r="G348" s="3">
        <v>0.94</v>
      </c>
      <c r="H348" s="3">
        <v>0.08</v>
      </c>
      <c r="I348" s="3">
        <v>7.71</v>
      </c>
      <c r="J348" s="3">
        <v>0.14000000000000001</v>
      </c>
      <c r="K348" s="3">
        <v>0.32</v>
      </c>
      <c r="L348" s="3">
        <v>0.04</v>
      </c>
      <c r="M348" s="3">
        <v>17.54</v>
      </c>
      <c r="N348" s="3">
        <v>0.15</v>
      </c>
      <c r="O348" s="3">
        <v>0.34</v>
      </c>
      <c r="P348" s="3">
        <v>0.02</v>
      </c>
      <c r="Q348" s="3">
        <v>7.39</v>
      </c>
      <c r="R348" s="3">
        <v>0.2</v>
      </c>
      <c r="S348" s="3">
        <v>6.29</v>
      </c>
      <c r="T348" s="3">
        <v>0.08</v>
      </c>
      <c r="U348" s="3">
        <v>2.0099999999999998</v>
      </c>
      <c r="V348" s="3">
        <v>0.43</v>
      </c>
      <c r="W348" s="3">
        <v>0.55000000000000004</v>
      </c>
      <c r="X348" s="3">
        <v>7.0000000000000007E-2</v>
      </c>
      <c r="Y348" s="3">
        <v>0.98</v>
      </c>
      <c r="Z348" s="3">
        <v>0.1</v>
      </c>
      <c r="AA348" s="3">
        <v>12.66</v>
      </c>
      <c r="AB348" s="3">
        <v>0.2</v>
      </c>
      <c r="AC348" s="3">
        <v>0.83</v>
      </c>
      <c r="AD348" s="3">
        <v>0.03</v>
      </c>
      <c r="AE348" s="3">
        <v>318</v>
      </c>
      <c r="AF348" s="3">
        <v>72</v>
      </c>
      <c r="AG348" s="3">
        <v>477</v>
      </c>
      <c r="AH348" s="3">
        <v>34</v>
      </c>
      <c r="AI348" s="3">
        <v>297</v>
      </c>
      <c r="AJ348" s="3">
        <v>26</v>
      </c>
    </row>
    <row r="349" spans="1:36" x14ac:dyDescent="0.25">
      <c r="A349" s="7">
        <v>3748</v>
      </c>
      <c r="B349" s="3" t="s">
        <v>8</v>
      </c>
      <c r="C349" s="3" t="s">
        <v>639</v>
      </c>
      <c r="D349" s="3"/>
      <c r="E349" s="3">
        <v>45.62</v>
      </c>
      <c r="F349" s="3">
        <v>0.4</v>
      </c>
      <c r="G349" s="3">
        <v>1.07</v>
      </c>
      <c r="H349" s="3">
        <v>7.0000000000000007E-2</v>
      </c>
      <c r="I349" s="3">
        <v>9.06</v>
      </c>
      <c r="J349" s="3">
        <v>0.11</v>
      </c>
      <c r="K349" s="3">
        <v>0.46</v>
      </c>
      <c r="L349" s="3">
        <v>0.03</v>
      </c>
      <c r="M349" s="3">
        <v>18.97</v>
      </c>
      <c r="N349" s="3">
        <v>0.12</v>
      </c>
      <c r="O349" s="3">
        <v>0.4</v>
      </c>
      <c r="P349" s="3">
        <v>0.01</v>
      </c>
      <c r="Q349" s="3">
        <v>7.34</v>
      </c>
      <c r="R349" s="3">
        <v>0.09</v>
      </c>
      <c r="S349" s="3">
        <v>7.2</v>
      </c>
      <c r="T349" s="3">
        <v>0.05</v>
      </c>
      <c r="U349" s="3">
        <v>2.2200000000000002</v>
      </c>
      <c r="V349" s="3">
        <v>0.19</v>
      </c>
      <c r="W349" s="3">
        <v>0.48</v>
      </c>
      <c r="X349" s="3">
        <v>0.06</v>
      </c>
      <c r="Y349" s="3">
        <v>0.88</v>
      </c>
      <c r="Z349" s="3">
        <v>7.0000000000000007E-2</v>
      </c>
      <c r="AA349" s="3">
        <v>5.56</v>
      </c>
      <c r="AB349" s="3">
        <v>7.0000000000000007E-2</v>
      </c>
      <c r="AC349" s="3">
        <v>0.65</v>
      </c>
      <c r="AD349" s="3">
        <v>0.01</v>
      </c>
      <c r="AE349" s="3">
        <v>332</v>
      </c>
      <c r="AF349" s="3">
        <v>42</v>
      </c>
      <c r="AG349" s="3">
        <v>279</v>
      </c>
      <c r="AH349" s="3">
        <v>13</v>
      </c>
      <c r="AI349" s="3">
        <v>45</v>
      </c>
      <c r="AJ349" s="3">
        <v>15</v>
      </c>
    </row>
    <row r="350" spans="1:36" x14ac:dyDescent="0.25">
      <c r="A350" s="7">
        <v>3753</v>
      </c>
      <c r="B350" s="3" t="s">
        <v>4</v>
      </c>
      <c r="C350" s="3" t="s">
        <v>640</v>
      </c>
      <c r="D350" s="3"/>
      <c r="E350" s="3">
        <v>46.68</v>
      </c>
      <c r="F350" s="3">
        <v>0.42</v>
      </c>
      <c r="G350" s="3">
        <v>1.33</v>
      </c>
      <c r="H350" s="3">
        <v>7.0000000000000007E-2</v>
      </c>
      <c r="I350" s="3">
        <v>11.42</v>
      </c>
      <c r="J350" s="3">
        <v>0.13</v>
      </c>
      <c r="K350" s="3">
        <v>0.21</v>
      </c>
      <c r="L350" s="3">
        <v>0.03</v>
      </c>
      <c r="M350" s="3">
        <v>15.91</v>
      </c>
      <c r="N350" s="3">
        <v>0.1</v>
      </c>
      <c r="O350" s="3">
        <v>0.34</v>
      </c>
      <c r="P350" s="3">
        <v>0.01</v>
      </c>
      <c r="Q350" s="3">
        <v>6.71</v>
      </c>
      <c r="R350" s="3">
        <v>0.09</v>
      </c>
      <c r="S350" s="3">
        <v>7.63</v>
      </c>
      <c r="T350" s="3">
        <v>0.05</v>
      </c>
      <c r="U350" s="3">
        <v>2.67</v>
      </c>
      <c r="V350" s="3">
        <v>0.19</v>
      </c>
      <c r="W350" s="3">
        <v>0.45</v>
      </c>
      <c r="X350" s="3">
        <v>0.06</v>
      </c>
      <c r="Y350" s="3">
        <v>1.1599999999999999</v>
      </c>
      <c r="Z350" s="3">
        <v>0.08</v>
      </c>
      <c r="AA350" s="3">
        <v>4.66</v>
      </c>
      <c r="AB350" s="3">
        <v>0.06</v>
      </c>
      <c r="AC350" s="3">
        <v>0.68</v>
      </c>
      <c r="AD350" s="3">
        <v>0.01</v>
      </c>
      <c r="AE350" s="3">
        <v>794</v>
      </c>
      <c r="AF350" s="3">
        <v>48</v>
      </c>
      <c r="AG350" s="3">
        <v>252</v>
      </c>
      <c r="AH350" s="3">
        <v>12</v>
      </c>
      <c r="AI350" s="3">
        <v>56</v>
      </c>
      <c r="AJ350" s="3">
        <v>15</v>
      </c>
    </row>
    <row r="351" spans="1:36" x14ac:dyDescent="0.25">
      <c r="A351" s="7">
        <v>3796</v>
      </c>
      <c r="B351" s="3" t="s">
        <v>5</v>
      </c>
      <c r="C351" s="3" t="s">
        <v>641</v>
      </c>
      <c r="D351" s="3"/>
      <c r="E351" s="3">
        <v>42.2</v>
      </c>
      <c r="F351" s="3">
        <v>0.39</v>
      </c>
      <c r="G351" s="3">
        <v>0.97</v>
      </c>
      <c r="H351" s="3">
        <v>7.0000000000000007E-2</v>
      </c>
      <c r="I351" s="3">
        <v>7.56</v>
      </c>
      <c r="J351" s="3">
        <v>0.12</v>
      </c>
      <c r="K351" s="3">
        <v>0.22</v>
      </c>
      <c r="L351" s="3">
        <v>0.03</v>
      </c>
      <c r="M351" s="3">
        <v>19.2</v>
      </c>
      <c r="N351" s="3">
        <v>0.13</v>
      </c>
      <c r="O351" s="3">
        <v>0.34</v>
      </c>
      <c r="P351" s="3">
        <v>0.01</v>
      </c>
      <c r="Q351" s="3">
        <v>6.54</v>
      </c>
      <c r="R351" s="3">
        <v>0.14000000000000001</v>
      </c>
      <c r="S351" s="3">
        <v>7.72</v>
      </c>
      <c r="T351" s="3">
        <v>0.06</v>
      </c>
      <c r="U351" s="3">
        <v>2.04</v>
      </c>
      <c r="V351" s="3">
        <v>0.3</v>
      </c>
      <c r="W351" s="3">
        <v>0.54</v>
      </c>
      <c r="X351" s="3">
        <v>0.06</v>
      </c>
      <c r="Y351" s="3">
        <v>1.19</v>
      </c>
      <c r="Z351" s="3">
        <v>0.09</v>
      </c>
      <c r="AA351" s="3">
        <v>9.7100000000000009</v>
      </c>
      <c r="AB351" s="3">
        <v>0.11</v>
      </c>
      <c r="AC351" s="3">
        <v>1.61</v>
      </c>
      <c r="AD351" s="3">
        <v>0.02</v>
      </c>
      <c r="AE351" s="3">
        <v>549</v>
      </c>
      <c r="AF351" s="3">
        <v>50</v>
      </c>
      <c r="AG351" s="3">
        <v>666</v>
      </c>
      <c r="AH351" s="3">
        <v>21</v>
      </c>
      <c r="AI351" s="3">
        <v>44</v>
      </c>
      <c r="AJ351" s="3">
        <v>15</v>
      </c>
    </row>
    <row r="352" spans="1:36" x14ac:dyDescent="0.25">
      <c r="A352" s="7">
        <v>3800</v>
      </c>
      <c r="B352" s="3" t="s">
        <v>4</v>
      </c>
      <c r="C352" s="3" t="s">
        <v>642</v>
      </c>
      <c r="D352" s="3"/>
      <c r="E352" s="3">
        <v>47.73</v>
      </c>
      <c r="F352" s="3">
        <v>0.43</v>
      </c>
      <c r="G352" s="3">
        <v>1.21</v>
      </c>
      <c r="H352" s="3">
        <v>0.08</v>
      </c>
      <c r="I352" s="3">
        <v>11.99</v>
      </c>
      <c r="J352" s="3">
        <v>0.14000000000000001</v>
      </c>
      <c r="K352" s="3">
        <v>0.19</v>
      </c>
      <c r="L352" s="3">
        <v>0.04</v>
      </c>
      <c r="M352" s="3">
        <v>15.86</v>
      </c>
      <c r="N352" s="3">
        <v>0.11</v>
      </c>
      <c r="O352" s="3">
        <v>0.3</v>
      </c>
      <c r="P352" s="3">
        <v>0.01</v>
      </c>
      <c r="Q352" s="3">
        <v>6.15</v>
      </c>
      <c r="R352" s="3">
        <v>0.1</v>
      </c>
      <c r="S352" s="3">
        <v>7.53</v>
      </c>
      <c r="T352" s="3">
        <v>7.0000000000000007E-2</v>
      </c>
      <c r="U352" s="3">
        <v>2.65</v>
      </c>
      <c r="V352" s="3">
        <v>0.23</v>
      </c>
      <c r="W352" s="3">
        <v>0.41</v>
      </c>
      <c r="X352" s="3">
        <v>0.06</v>
      </c>
      <c r="Y352" s="3">
        <v>1.29</v>
      </c>
      <c r="Z352" s="3">
        <v>0.09</v>
      </c>
      <c r="AA352" s="3">
        <v>4.0199999999999996</v>
      </c>
      <c r="AB352" s="3">
        <v>7.0000000000000007E-2</v>
      </c>
      <c r="AC352" s="3">
        <v>0.64</v>
      </c>
      <c r="AD352" s="3">
        <v>0.02</v>
      </c>
      <c r="AE352" s="3">
        <v>116</v>
      </c>
      <c r="AF352" s="3">
        <v>54</v>
      </c>
      <c r="AG352" s="3">
        <v>112</v>
      </c>
      <c r="AH352" s="3">
        <v>17</v>
      </c>
      <c r="AI352" s="3">
        <v>20</v>
      </c>
      <c r="AJ352" s="3">
        <v>17</v>
      </c>
    </row>
    <row r="353" spans="1:36" x14ac:dyDescent="0.25">
      <c r="A353" s="7">
        <v>3802</v>
      </c>
      <c r="B353" s="3" t="s">
        <v>4</v>
      </c>
      <c r="C353" s="3" t="s">
        <v>643</v>
      </c>
      <c r="D353" s="3"/>
      <c r="E353" s="3">
        <v>47.79</v>
      </c>
      <c r="F353" s="3">
        <v>0.46</v>
      </c>
      <c r="G353" s="3">
        <v>1.31</v>
      </c>
      <c r="H353" s="3">
        <v>0.09</v>
      </c>
      <c r="I353" s="3">
        <v>12.3</v>
      </c>
      <c r="J353" s="3">
        <v>0.16</v>
      </c>
      <c r="K353" s="3">
        <v>0.17</v>
      </c>
      <c r="L353" s="3">
        <v>0.03</v>
      </c>
      <c r="M353" s="3">
        <v>15.79</v>
      </c>
      <c r="N353" s="3">
        <v>0.12</v>
      </c>
      <c r="O353" s="3">
        <v>0.3</v>
      </c>
      <c r="P353" s="3">
        <v>0.01</v>
      </c>
      <c r="Q353" s="3">
        <v>6.09</v>
      </c>
      <c r="R353" s="3">
        <v>0.1</v>
      </c>
      <c r="S353" s="3">
        <v>7.46</v>
      </c>
      <c r="T353" s="3">
        <v>0.06</v>
      </c>
      <c r="U353" s="3">
        <v>2.72</v>
      </c>
      <c r="V353" s="3">
        <v>0.22</v>
      </c>
      <c r="W353" s="3">
        <v>0.38</v>
      </c>
      <c r="X353" s="3">
        <v>0.06</v>
      </c>
      <c r="Y353" s="3">
        <v>1.31</v>
      </c>
      <c r="Z353" s="3">
        <v>0.08</v>
      </c>
      <c r="AA353" s="3">
        <v>3.73</v>
      </c>
      <c r="AB353" s="3">
        <v>7.0000000000000007E-2</v>
      </c>
      <c r="AC353" s="3">
        <v>0.61</v>
      </c>
      <c r="AD353" s="3">
        <v>0.02</v>
      </c>
      <c r="AE353" s="3">
        <v>152</v>
      </c>
      <c r="AF353" s="3">
        <v>47</v>
      </c>
      <c r="AG353" s="3">
        <v>124</v>
      </c>
      <c r="AH353" s="3">
        <v>14</v>
      </c>
      <c r="AI353" s="3">
        <v>31</v>
      </c>
      <c r="AJ353" s="3">
        <v>17</v>
      </c>
    </row>
    <row r="354" spans="1:36" x14ac:dyDescent="0.25">
      <c r="A354" s="7">
        <v>3809</v>
      </c>
      <c r="B354" s="3" t="s">
        <v>4</v>
      </c>
      <c r="C354" s="3" t="s">
        <v>644</v>
      </c>
      <c r="D354" s="3"/>
      <c r="E354" s="3">
        <v>48.2</v>
      </c>
      <c r="F354" s="3">
        <v>0.45</v>
      </c>
      <c r="G354" s="3">
        <v>1.21</v>
      </c>
      <c r="H354" s="3">
        <v>7.0000000000000007E-2</v>
      </c>
      <c r="I354" s="3">
        <v>12.56</v>
      </c>
      <c r="J354" s="3">
        <v>0.15</v>
      </c>
      <c r="K354" s="3">
        <v>0.17</v>
      </c>
      <c r="L354" s="3">
        <v>0.03</v>
      </c>
      <c r="M354" s="3">
        <v>15.22</v>
      </c>
      <c r="N354" s="3">
        <v>0.11</v>
      </c>
      <c r="O354" s="3">
        <v>0.35</v>
      </c>
      <c r="P354" s="3">
        <v>0.01</v>
      </c>
      <c r="Q354" s="3">
        <v>6.05</v>
      </c>
      <c r="R354" s="3">
        <v>0.1</v>
      </c>
      <c r="S354" s="3">
        <v>7.32</v>
      </c>
      <c r="T354" s="3">
        <v>0.06</v>
      </c>
      <c r="U354" s="3">
        <v>2.82</v>
      </c>
      <c r="V354" s="3">
        <v>0.21</v>
      </c>
      <c r="W354" s="3">
        <v>0.39</v>
      </c>
      <c r="X354" s="3">
        <v>0.06</v>
      </c>
      <c r="Y354" s="3">
        <v>1.17</v>
      </c>
      <c r="Z354" s="3">
        <v>0.08</v>
      </c>
      <c r="AA354" s="3">
        <v>4.0199999999999996</v>
      </c>
      <c r="AB354" s="3">
        <v>0.06</v>
      </c>
      <c r="AC354" s="3">
        <v>0.46</v>
      </c>
      <c r="AD354" s="3">
        <v>0.01</v>
      </c>
      <c r="AE354" s="3">
        <v>303</v>
      </c>
      <c r="AF354" s="3">
        <v>44</v>
      </c>
      <c r="AG354" s="3">
        <v>103</v>
      </c>
      <c r="AH354" s="3">
        <v>11</v>
      </c>
      <c r="AI354" s="3">
        <v>17</v>
      </c>
      <c r="AJ354" s="3">
        <v>15</v>
      </c>
    </row>
    <row r="355" spans="1:36" x14ac:dyDescent="0.25">
      <c r="A355" s="7">
        <v>3812</v>
      </c>
      <c r="B355" s="3" t="s">
        <v>5</v>
      </c>
      <c r="C355" s="3" t="s">
        <v>645</v>
      </c>
      <c r="D355" s="3"/>
      <c r="E355" s="3">
        <v>48.37</v>
      </c>
      <c r="F355" s="3">
        <v>0.52</v>
      </c>
      <c r="G355" s="3">
        <v>1.23</v>
      </c>
      <c r="H355" s="3">
        <v>0.09</v>
      </c>
      <c r="I355" s="3">
        <v>12.56</v>
      </c>
      <c r="J355" s="3">
        <v>0.19</v>
      </c>
      <c r="K355" s="3">
        <v>0.18</v>
      </c>
      <c r="L355" s="3">
        <v>0.04</v>
      </c>
      <c r="M355" s="3">
        <v>15.23</v>
      </c>
      <c r="N355" s="3">
        <v>0.14000000000000001</v>
      </c>
      <c r="O355" s="3">
        <v>0.36</v>
      </c>
      <c r="P355" s="3">
        <v>0.02</v>
      </c>
      <c r="Q355" s="3">
        <v>6.23</v>
      </c>
      <c r="R355" s="3">
        <v>0.14000000000000001</v>
      </c>
      <c r="S355" s="3">
        <v>7.35</v>
      </c>
      <c r="T355" s="3">
        <v>0.08</v>
      </c>
      <c r="U355" s="3">
        <v>2.75</v>
      </c>
      <c r="V355" s="3">
        <v>0.28000000000000003</v>
      </c>
      <c r="W355" s="3">
        <v>0.36</v>
      </c>
      <c r="X355" s="3">
        <v>0.06</v>
      </c>
      <c r="Y355" s="3">
        <v>1.2</v>
      </c>
      <c r="Z355" s="3">
        <v>0.1</v>
      </c>
      <c r="AA355" s="3">
        <v>3.72</v>
      </c>
      <c r="AB355" s="3">
        <v>0.09</v>
      </c>
      <c r="AC355" s="3">
        <v>0.42</v>
      </c>
      <c r="AD355" s="3">
        <v>0.02</v>
      </c>
      <c r="AE355" s="3">
        <v>289</v>
      </c>
      <c r="AF355" s="3">
        <v>61</v>
      </c>
      <c r="AG355" s="3">
        <v>111</v>
      </c>
      <c r="AH355" s="3">
        <v>19</v>
      </c>
      <c r="AI355" s="3">
        <v>20</v>
      </c>
      <c r="AJ355" s="3">
        <v>17</v>
      </c>
    </row>
    <row r="356" spans="1:36" x14ac:dyDescent="0.25">
      <c r="A356" s="7">
        <v>3819</v>
      </c>
      <c r="B356" s="3" t="s">
        <v>4</v>
      </c>
      <c r="C356" s="3" t="s">
        <v>646</v>
      </c>
      <c r="D356" s="3"/>
      <c r="E356" s="3">
        <v>46.7</v>
      </c>
      <c r="F356" s="3">
        <v>0.47</v>
      </c>
      <c r="G356" s="3">
        <v>1.1499999999999999</v>
      </c>
      <c r="H356" s="3">
        <v>0.08</v>
      </c>
      <c r="I356" s="3">
        <v>11.23</v>
      </c>
      <c r="J356" s="3">
        <v>0.16</v>
      </c>
      <c r="K356" s="3">
        <v>0.15</v>
      </c>
      <c r="L356" s="3">
        <v>0.04</v>
      </c>
      <c r="M356" s="3">
        <v>16.100000000000001</v>
      </c>
      <c r="N356" s="3">
        <v>0.12</v>
      </c>
      <c r="O356" s="3">
        <v>0.34</v>
      </c>
      <c r="P356" s="3">
        <v>0.01</v>
      </c>
      <c r="Q356" s="3">
        <v>6.47</v>
      </c>
      <c r="R356" s="3">
        <v>0.11</v>
      </c>
      <c r="S356" s="3">
        <v>7.56</v>
      </c>
      <c r="T356" s="3">
        <v>7.0000000000000007E-2</v>
      </c>
      <c r="U356" s="3">
        <v>2.46</v>
      </c>
      <c r="V356" s="3">
        <v>0.23</v>
      </c>
      <c r="W356" s="3">
        <v>0.47</v>
      </c>
      <c r="X356" s="3">
        <v>0.06</v>
      </c>
      <c r="Y356" s="3">
        <v>1.28</v>
      </c>
      <c r="Z356" s="3">
        <v>0.09</v>
      </c>
      <c r="AA356" s="3">
        <v>4.93</v>
      </c>
      <c r="AB356" s="3">
        <v>0.08</v>
      </c>
      <c r="AC356" s="3">
        <v>0.98</v>
      </c>
      <c r="AD356" s="3">
        <v>0.02</v>
      </c>
      <c r="AE356" s="3">
        <v>452</v>
      </c>
      <c r="AF356" s="3">
        <v>61</v>
      </c>
      <c r="AG356" s="3">
        <v>262</v>
      </c>
      <c r="AH356" s="3">
        <v>21</v>
      </c>
      <c r="AI356" s="3">
        <v>153</v>
      </c>
      <c r="AJ356" s="3">
        <v>19</v>
      </c>
    </row>
    <row r="357" spans="1:36" x14ac:dyDescent="0.25">
      <c r="A357" s="7">
        <v>3836</v>
      </c>
      <c r="B357" s="3" t="s">
        <v>3</v>
      </c>
      <c r="C357" s="3" t="s">
        <v>647</v>
      </c>
      <c r="D357" s="3"/>
      <c r="E357" s="3">
        <v>45.56</v>
      </c>
      <c r="F357" s="3">
        <v>0.5</v>
      </c>
      <c r="G357" s="3">
        <v>1.0900000000000001</v>
      </c>
      <c r="H357" s="3">
        <v>0.09</v>
      </c>
      <c r="I357" s="3">
        <v>9.51</v>
      </c>
      <c r="J357" s="3">
        <v>0.16</v>
      </c>
      <c r="K357" s="3">
        <v>0.27</v>
      </c>
      <c r="L357" s="3">
        <v>0.04</v>
      </c>
      <c r="M357" s="3">
        <v>17.760000000000002</v>
      </c>
      <c r="N357" s="3">
        <v>0.15</v>
      </c>
      <c r="O357" s="3">
        <v>0.34</v>
      </c>
      <c r="P357" s="3">
        <v>0.02</v>
      </c>
      <c r="Q357" s="3">
        <v>7.06</v>
      </c>
      <c r="R357" s="3">
        <v>0.13</v>
      </c>
      <c r="S357" s="3">
        <v>7.18</v>
      </c>
      <c r="T357" s="3">
        <v>0.08</v>
      </c>
      <c r="U357" s="3">
        <v>2.21</v>
      </c>
      <c r="V357" s="3">
        <v>0.25</v>
      </c>
      <c r="W357" s="3">
        <v>0.49</v>
      </c>
      <c r="X357" s="3">
        <v>0.06</v>
      </c>
      <c r="Y357" s="3">
        <v>1.06</v>
      </c>
      <c r="Z357" s="3">
        <v>0.09</v>
      </c>
      <c r="AA357" s="3">
        <v>6.53</v>
      </c>
      <c r="AB357" s="3">
        <v>0.12</v>
      </c>
      <c r="AC357" s="3">
        <v>0.88</v>
      </c>
      <c r="AD357" s="3">
        <v>0.03</v>
      </c>
      <c r="AE357" s="3">
        <v>282</v>
      </c>
      <c r="AF357" s="3">
        <v>59</v>
      </c>
      <c r="AG357" s="3">
        <v>257</v>
      </c>
      <c r="AH357" s="3">
        <v>23</v>
      </c>
      <c r="AI357" s="3">
        <v>125</v>
      </c>
      <c r="AJ357" s="3">
        <v>23</v>
      </c>
    </row>
    <row r="358" spans="1:36" x14ac:dyDescent="0.25">
      <c r="A358" s="7">
        <v>3848</v>
      </c>
      <c r="B358" s="3" t="s">
        <v>4</v>
      </c>
      <c r="C358" s="3" t="s">
        <v>648</v>
      </c>
      <c r="D358" s="3"/>
      <c r="E358" s="3">
        <v>36.090000000000003</v>
      </c>
      <c r="F358" s="3">
        <v>0.48</v>
      </c>
      <c r="G358" s="3">
        <v>0.72</v>
      </c>
      <c r="H358" s="3">
        <v>0.08</v>
      </c>
      <c r="I358" s="3">
        <v>7.18</v>
      </c>
      <c r="J358" s="3">
        <v>0.23</v>
      </c>
      <c r="K358" s="3">
        <v>0.25</v>
      </c>
      <c r="L358" s="3">
        <v>0.04</v>
      </c>
      <c r="M358" s="3">
        <v>12.87</v>
      </c>
      <c r="N358" s="3">
        <v>0.13</v>
      </c>
      <c r="O358" s="3">
        <v>0.27</v>
      </c>
      <c r="P358" s="3">
        <v>0.02</v>
      </c>
      <c r="Q358" s="3">
        <v>6.03</v>
      </c>
      <c r="R358" s="3">
        <v>0.17</v>
      </c>
      <c r="S358" s="3">
        <v>13.24</v>
      </c>
      <c r="T358" s="3">
        <v>0.13</v>
      </c>
      <c r="U358" s="3">
        <v>1.88</v>
      </c>
      <c r="V358" s="3">
        <v>0.28000000000000003</v>
      </c>
      <c r="W358" s="3">
        <v>0.39</v>
      </c>
      <c r="X358" s="3">
        <v>7.0000000000000007E-2</v>
      </c>
      <c r="Y358" s="3">
        <v>1.02</v>
      </c>
      <c r="Z358" s="3">
        <v>0.13</v>
      </c>
      <c r="AA358" s="3">
        <v>19.149999999999999</v>
      </c>
      <c r="AB358" s="3">
        <v>0.27</v>
      </c>
      <c r="AC358" s="3">
        <v>0.85</v>
      </c>
      <c r="AD358" s="3">
        <v>0.03</v>
      </c>
      <c r="AE358" s="3">
        <v>199</v>
      </c>
      <c r="AF358" s="3">
        <v>60</v>
      </c>
      <c r="AG358" s="3">
        <v>192</v>
      </c>
      <c r="AH358" s="3">
        <v>23</v>
      </c>
      <c r="AI358" s="3">
        <v>102</v>
      </c>
      <c r="AJ358" s="3">
        <v>22</v>
      </c>
    </row>
    <row r="359" spans="1:36" x14ac:dyDescent="0.25">
      <c r="A359" s="7">
        <v>3849</v>
      </c>
      <c r="B359" s="3" t="s">
        <v>4</v>
      </c>
      <c r="C359" s="3" t="s">
        <v>649</v>
      </c>
      <c r="D359" s="3"/>
      <c r="E359" s="3">
        <v>39.31</v>
      </c>
      <c r="F359" s="3">
        <v>0.35</v>
      </c>
      <c r="G359" s="3">
        <v>0.91</v>
      </c>
      <c r="H359" s="3">
        <v>0.08</v>
      </c>
      <c r="I359" s="3">
        <v>7.87</v>
      </c>
      <c r="J359" s="3">
        <v>0.12</v>
      </c>
      <c r="K359" s="3">
        <v>0.2</v>
      </c>
      <c r="L359" s="3">
        <v>0.04</v>
      </c>
      <c r="M359" s="3">
        <v>14.86</v>
      </c>
      <c r="N359" s="3">
        <v>0.1</v>
      </c>
      <c r="O359" s="3">
        <v>0.34</v>
      </c>
      <c r="P359" s="3">
        <v>0.02</v>
      </c>
      <c r="Q359" s="3">
        <v>6.27</v>
      </c>
      <c r="R359" s="3">
        <v>0.11</v>
      </c>
      <c r="S359" s="3">
        <v>10.7</v>
      </c>
      <c r="T359" s="3">
        <v>0.1</v>
      </c>
      <c r="U359" s="3">
        <v>1.9</v>
      </c>
      <c r="V359" s="3">
        <v>0.23</v>
      </c>
      <c r="W359" s="3">
        <v>0.44</v>
      </c>
      <c r="X359" s="3">
        <v>0.06</v>
      </c>
      <c r="Y359" s="3">
        <v>1.1100000000000001</v>
      </c>
      <c r="Z359" s="3">
        <v>0.09</v>
      </c>
      <c r="AA359" s="3">
        <v>15.17</v>
      </c>
      <c r="AB359" s="3">
        <v>0.19</v>
      </c>
      <c r="AC359" s="3">
        <v>0.87</v>
      </c>
      <c r="AD359" s="3">
        <v>0.03</v>
      </c>
      <c r="AE359" s="3">
        <v>254</v>
      </c>
      <c r="AF359" s="3">
        <v>62</v>
      </c>
      <c r="AG359" s="3">
        <v>171</v>
      </c>
      <c r="AH359" s="3">
        <v>23</v>
      </c>
      <c r="AI359" s="3">
        <v>98</v>
      </c>
      <c r="AJ359" s="3">
        <v>20</v>
      </c>
    </row>
    <row r="360" spans="1:36" x14ac:dyDescent="0.25">
      <c r="A360" s="7">
        <v>3851</v>
      </c>
      <c r="B360" s="3" t="s">
        <v>5</v>
      </c>
      <c r="C360" s="3" t="s">
        <v>650</v>
      </c>
      <c r="D360" s="3"/>
      <c r="E360" s="3">
        <v>43.19</v>
      </c>
      <c r="F360" s="3">
        <v>0.4</v>
      </c>
      <c r="G360" s="3">
        <v>1.1000000000000001</v>
      </c>
      <c r="H360" s="3">
        <v>7.0000000000000007E-2</v>
      </c>
      <c r="I360" s="3">
        <v>8.73</v>
      </c>
      <c r="J360" s="3">
        <v>0.11</v>
      </c>
      <c r="K360" s="3">
        <v>0.2</v>
      </c>
      <c r="L360" s="3">
        <v>0.03</v>
      </c>
      <c r="M360" s="3">
        <v>17.059999999999999</v>
      </c>
      <c r="N360" s="3">
        <v>0.12</v>
      </c>
      <c r="O360" s="3">
        <v>0.46</v>
      </c>
      <c r="P360" s="3">
        <v>0.01</v>
      </c>
      <c r="Q360" s="3">
        <v>7.02</v>
      </c>
      <c r="R360" s="3">
        <v>0.09</v>
      </c>
      <c r="S360" s="3">
        <v>6.56</v>
      </c>
      <c r="T360" s="3">
        <v>0.05</v>
      </c>
      <c r="U360" s="3">
        <v>2.2999999999999998</v>
      </c>
      <c r="V360" s="3">
        <v>0.19</v>
      </c>
      <c r="W360" s="3">
        <v>0.43</v>
      </c>
      <c r="X360" s="3">
        <v>0.06</v>
      </c>
      <c r="Y360" s="3">
        <v>1.19</v>
      </c>
      <c r="Z360" s="3">
        <v>0.08</v>
      </c>
      <c r="AA360" s="3">
        <v>10.69</v>
      </c>
      <c r="AB360" s="3">
        <v>0.12</v>
      </c>
      <c r="AC360" s="3">
        <v>0.99</v>
      </c>
      <c r="AD360" s="3">
        <v>0.02</v>
      </c>
      <c r="AE360" s="3">
        <v>483</v>
      </c>
      <c r="AF360" s="3">
        <v>47</v>
      </c>
      <c r="AG360" s="3">
        <v>163</v>
      </c>
      <c r="AH360" s="3">
        <v>13</v>
      </c>
      <c r="AI360" s="3">
        <v>78</v>
      </c>
      <c r="AJ360" s="3">
        <v>16</v>
      </c>
    </row>
    <row r="361" spans="1:36" x14ac:dyDescent="0.25">
      <c r="A361" s="7">
        <v>3853</v>
      </c>
      <c r="B361" s="3" t="s">
        <v>5</v>
      </c>
      <c r="C361" s="3" t="s">
        <v>651</v>
      </c>
      <c r="D361" s="3"/>
      <c r="E361" s="3">
        <v>43.56</v>
      </c>
      <c r="F361" s="3">
        <v>0.52</v>
      </c>
      <c r="G361" s="3">
        <v>1.08</v>
      </c>
      <c r="H361" s="3">
        <v>0.09</v>
      </c>
      <c r="I361" s="3">
        <v>8.7200000000000006</v>
      </c>
      <c r="J361" s="3">
        <v>0.17</v>
      </c>
      <c r="K361" s="3">
        <v>0.2</v>
      </c>
      <c r="L361" s="3">
        <v>0.04</v>
      </c>
      <c r="M361" s="3">
        <v>17.12</v>
      </c>
      <c r="N361" s="3">
        <v>0.17</v>
      </c>
      <c r="O361" s="3">
        <v>0.5</v>
      </c>
      <c r="P361" s="3">
        <v>0.02</v>
      </c>
      <c r="Q361" s="3">
        <v>6.9</v>
      </c>
      <c r="R361" s="3">
        <v>0.15</v>
      </c>
      <c r="S361" s="3">
        <v>6.47</v>
      </c>
      <c r="T361" s="3">
        <v>0.08</v>
      </c>
      <c r="U361" s="3">
        <v>2.08</v>
      </c>
      <c r="V361" s="3">
        <v>0.27</v>
      </c>
      <c r="W361" s="3">
        <v>0.46</v>
      </c>
      <c r="X361" s="3">
        <v>7.0000000000000007E-2</v>
      </c>
      <c r="Y361" s="3">
        <v>1.18</v>
      </c>
      <c r="Z361" s="3">
        <v>0.1</v>
      </c>
      <c r="AA361" s="3">
        <v>10.76</v>
      </c>
      <c r="AB361" s="3">
        <v>0.19</v>
      </c>
      <c r="AC361" s="3">
        <v>0.89</v>
      </c>
      <c r="AD361" s="3">
        <v>0.03</v>
      </c>
      <c r="AE361" s="3">
        <v>420</v>
      </c>
      <c r="AF361" s="3">
        <v>73</v>
      </c>
      <c r="AG361" s="3">
        <v>133</v>
      </c>
      <c r="AH361" s="3">
        <v>24</v>
      </c>
      <c r="AI361" s="3">
        <v>86</v>
      </c>
      <c r="AJ361" s="3">
        <v>21</v>
      </c>
    </row>
    <row r="362" spans="1:36" x14ac:dyDescent="0.25">
      <c r="A362" s="7">
        <v>3856</v>
      </c>
      <c r="B362" s="3" t="s">
        <v>5</v>
      </c>
      <c r="C362" s="3" t="s">
        <v>652</v>
      </c>
      <c r="D362" s="3"/>
      <c r="E362" s="3">
        <v>43.35</v>
      </c>
      <c r="F362" s="3">
        <v>0.51</v>
      </c>
      <c r="G362" s="3">
        <v>1.1000000000000001</v>
      </c>
      <c r="H362" s="3">
        <v>0.09</v>
      </c>
      <c r="I362" s="3">
        <v>8.93</v>
      </c>
      <c r="J362" s="3">
        <v>0.17</v>
      </c>
      <c r="K362" s="3">
        <v>0.2</v>
      </c>
      <c r="L362" s="3">
        <v>0.04</v>
      </c>
      <c r="M362" s="3">
        <v>16.600000000000001</v>
      </c>
      <c r="N362" s="3">
        <v>0.16</v>
      </c>
      <c r="O362" s="3">
        <v>0.5</v>
      </c>
      <c r="P362" s="3">
        <v>0.02</v>
      </c>
      <c r="Q362" s="3">
        <v>6.88</v>
      </c>
      <c r="R362" s="3">
        <v>0.15</v>
      </c>
      <c r="S362" s="3">
        <v>6.28</v>
      </c>
      <c r="T362" s="3">
        <v>0.08</v>
      </c>
      <c r="U362" s="3">
        <v>2.3199999999999998</v>
      </c>
      <c r="V362" s="3">
        <v>0.28000000000000003</v>
      </c>
      <c r="W362" s="3">
        <v>0.42</v>
      </c>
      <c r="X362" s="3">
        <v>7.0000000000000007E-2</v>
      </c>
      <c r="Y362" s="3">
        <v>1.19</v>
      </c>
      <c r="Z362" s="3">
        <v>0.1</v>
      </c>
      <c r="AA362" s="3">
        <v>11.04</v>
      </c>
      <c r="AB362" s="3">
        <v>0.18</v>
      </c>
      <c r="AC362" s="3">
        <v>1.1100000000000001</v>
      </c>
      <c r="AD362" s="3">
        <v>0.03</v>
      </c>
      <c r="AE362" s="3">
        <v>332</v>
      </c>
      <c r="AF362" s="3">
        <v>66</v>
      </c>
      <c r="AG362" s="3">
        <v>161</v>
      </c>
      <c r="AH362" s="3">
        <v>23</v>
      </c>
      <c r="AI362" s="3">
        <v>60</v>
      </c>
      <c r="AJ362" s="3">
        <v>21</v>
      </c>
    </row>
    <row r="363" spans="1:36" x14ac:dyDescent="0.25">
      <c r="A363" s="7">
        <v>3925</v>
      </c>
      <c r="B363" s="3" t="s">
        <v>3</v>
      </c>
      <c r="C363" s="3" t="s">
        <v>653</v>
      </c>
      <c r="D363" s="3"/>
      <c r="E363" s="3">
        <v>45.66</v>
      </c>
      <c r="F363" s="3">
        <v>0.59</v>
      </c>
      <c r="G363" s="3">
        <v>0.99</v>
      </c>
      <c r="H363" s="3">
        <v>0.1</v>
      </c>
      <c r="I363" s="3">
        <v>8.7200000000000006</v>
      </c>
      <c r="J363" s="3">
        <v>0.2</v>
      </c>
      <c r="K363" s="3">
        <v>0.36</v>
      </c>
      <c r="L363" s="3">
        <v>0.05</v>
      </c>
      <c r="M363" s="3">
        <v>18.690000000000001</v>
      </c>
      <c r="N363" s="3">
        <v>0.2</v>
      </c>
      <c r="O363" s="3">
        <v>0.39</v>
      </c>
      <c r="P363" s="3">
        <v>0.03</v>
      </c>
      <c r="Q363" s="3">
        <v>6.92</v>
      </c>
      <c r="R363" s="3">
        <v>0.19</v>
      </c>
      <c r="S363" s="3">
        <v>7.28</v>
      </c>
      <c r="T363" s="3">
        <v>0.1</v>
      </c>
      <c r="U363" s="3">
        <v>1.6</v>
      </c>
      <c r="V363" s="3">
        <v>0.3</v>
      </c>
      <c r="W363" s="3">
        <v>0.54</v>
      </c>
      <c r="X363" s="3">
        <v>7.0000000000000007E-2</v>
      </c>
      <c r="Y363" s="3">
        <v>1</v>
      </c>
      <c r="Z363" s="3">
        <v>0.11</v>
      </c>
      <c r="AA363" s="3">
        <v>6.96</v>
      </c>
      <c r="AB363" s="3">
        <v>0.16</v>
      </c>
      <c r="AC363" s="3">
        <v>0.79</v>
      </c>
      <c r="AD363" s="3">
        <v>0.03</v>
      </c>
      <c r="AE363" s="3">
        <v>294</v>
      </c>
      <c r="AF363" s="3">
        <v>87</v>
      </c>
      <c r="AG363" s="3">
        <v>350</v>
      </c>
      <c r="AH363" s="3">
        <v>40</v>
      </c>
      <c r="AI363" s="3">
        <v>31</v>
      </c>
      <c r="AJ363" s="3">
        <v>25</v>
      </c>
    </row>
    <row r="364" spans="1:36" x14ac:dyDescent="0.25">
      <c r="A364" s="7">
        <v>3935</v>
      </c>
      <c r="B364" s="3" t="s">
        <v>4</v>
      </c>
      <c r="C364" s="3" t="s">
        <v>654</v>
      </c>
      <c r="D364" s="3"/>
      <c r="E364" s="3">
        <v>52.7</v>
      </c>
      <c r="F364" s="3">
        <v>0.51</v>
      </c>
      <c r="G364" s="3">
        <v>0.91</v>
      </c>
      <c r="H364" s="3">
        <v>0.08</v>
      </c>
      <c r="I364" s="3">
        <v>16.16</v>
      </c>
      <c r="J364" s="3">
        <v>0.33</v>
      </c>
      <c r="K364" s="3">
        <v>0.01</v>
      </c>
      <c r="L364" s="3">
        <v>0.03</v>
      </c>
      <c r="M364" s="3">
        <v>10.35</v>
      </c>
      <c r="N364" s="3">
        <v>0.08</v>
      </c>
      <c r="O364" s="3">
        <v>0.18</v>
      </c>
      <c r="P364" s="3">
        <v>0.01</v>
      </c>
      <c r="Q364" s="3">
        <v>4.04</v>
      </c>
      <c r="R364" s="3">
        <v>0.19</v>
      </c>
      <c r="S364" s="3">
        <v>7.25</v>
      </c>
      <c r="T364" s="3">
        <v>0.08</v>
      </c>
      <c r="U364" s="3">
        <v>3.27</v>
      </c>
      <c r="V364" s="3">
        <v>0.27</v>
      </c>
      <c r="W364" s="3">
        <v>0.44</v>
      </c>
      <c r="X364" s="3">
        <v>7.0000000000000007E-2</v>
      </c>
      <c r="Y364" s="3">
        <v>0.92</v>
      </c>
      <c r="Z364" s="3">
        <v>0.11</v>
      </c>
      <c r="AA364" s="3">
        <v>3.19</v>
      </c>
      <c r="AB364" s="3">
        <v>0.09</v>
      </c>
      <c r="AC364" s="3">
        <v>0.51</v>
      </c>
      <c r="AD364" s="3">
        <v>0.02</v>
      </c>
      <c r="AE364" s="3">
        <v>0</v>
      </c>
      <c r="AF364" s="3">
        <v>20</v>
      </c>
      <c r="AG364" s="3">
        <v>50</v>
      </c>
      <c r="AH364" s="3">
        <v>16</v>
      </c>
      <c r="AI364" s="3">
        <v>86</v>
      </c>
      <c r="AJ364" s="3">
        <v>19</v>
      </c>
    </row>
    <row r="365" spans="1:36" x14ac:dyDescent="0.25">
      <c r="A365" s="7">
        <v>3951</v>
      </c>
      <c r="B365" s="3" t="s">
        <v>5</v>
      </c>
      <c r="C365" s="3" t="s">
        <v>655</v>
      </c>
      <c r="D365" s="3"/>
      <c r="E365" s="3">
        <v>48.85</v>
      </c>
      <c r="F365" s="3">
        <v>0.51</v>
      </c>
      <c r="G365" s="3">
        <v>0.73</v>
      </c>
      <c r="H365" s="3">
        <v>7.0000000000000007E-2</v>
      </c>
      <c r="I365" s="3">
        <v>12.55</v>
      </c>
      <c r="J365" s="3">
        <v>0.19</v>
      </c>
      <c r="K365" s="3">
        <v>0.27</v>
      </c>
      <c r="L365" s="3">
        <v>0.04</v>
      </c>
      <c r="M365" s="3">
        <v>13.65</v>
      </c>
      <c r="N365" s="3">
        <v>0.12</v>
      </c>
      <c r="O365" s="3">
        <v>0.28000000000000003</v>
      </c>
      <c r="P365" s="3">
        <v>0.01</v>
      </c>
      <c r="Q365" s="3">
        <v>10.96</v>
      </c>
      <c r="R365" s="3">
        <v>0.17</v>
      </c>
      <c r="S365" s="3">
        <v>5.71</v>
      </c>
      <c r="T365" s="3">
        <v>0.06</v>
      </c>
      <c r="U365" s="3">
        <v>2.39</v>
      </c>
      <c r="V365" s="3">
        <v>0.26</v>
      </c>
      <c r="W365" s="3">
        <v>0.28000000000000003</v>
      </c>
      <c r="X365" s="3">
        <v>0.06</v>
      </c>
      <c r="Y365" s="3">
        <v>0.97</v>
      </c>
      <c r="Z365" s="3">
        <v>0.09</v>
      </c>
      <c r="AA365" s="3">
        <v>2.8</v>
      </c>
      <c r="AB365" s="3">
        <v>7.0000000000000007E-2</v>
      </c>
      <c r="AC365" s="3">
        <v>0.53</v>
      </c>
      <c r="AD365" s="3">
        <v>0.02</v>
      </c>
      <c r="AE365" s="3">
        <v>21</v>
      </c>
      <c r="AF365" s="3">
        <v>46</v>
      </c>
      <c r="AG365" s="3">
        <v>74</v>
      </c>
      <c r="AH365" s="3">
        <v>15</v>
      </c>
      <c r="AI365" s="3">
        <v>27</v>
      </c>
      <c r="AJ365" s="3">
        <v>18</v>
      </c>
    </row>
    <row r="366" spans="1:36" x14ac:dyDescent="0.25">
      <c r="A366" s="7">
        <v>3952</v>
      </c>
      <c r="B366" s="3" t="s">
        <v>5</v>
      </c>
      <c r="C366" s="3" t="s">
        <v>656</v>
      </c>
      <c r="D366" s="3"/>
      <c r="E366" s="3">
        <v>48.63</v>
      </c>
      <c r="F366" s="3">
        <v>0.57999999999999996</v>
      </c>
      <c r="G366" s="3">
        <v>0.67</v>
      </c>
      <c r="H366" s="3">
        <v>0.08</v>
      </c>
      <c r="I366" s="3">
        <v>12.26</v>
      </c>
      <c r="J366" s="3">
        <v>0.23</v>
      </c>
      <c r="K366" s="3">
        <v>0.26</v>
      </c>
      <c r="L366" s="3">
        <v>0.04</v>
      </c>
      <c r="M366" s="3">
        <v>14.04</v>
      </c>
      <c r="N366" s="3">
        <v>0.15</v>
      </c>
      <c r="O366" s="3">
        <v>0.25</v>
      </c>
      <c r="P366" s="3">
        <v>0.02</v>
      </c>
      <c r="Q366" s="3">
        <v>10.65</v>
      </c>
      <c r="R366" s="3">
        <v>0.2</v>
      </c>
      <c r="S366" s="3">
        <v>5.77</v>
      </c>
      <c r="T366" s="3">
        <v>0.08</v>
      </c>
      <c r="U366" s="3">
        <v>2.52</v>
      </c>
      <c r="V366" s="3">
        <v>0.3</v>
      </c>
      <c r="W366" s="3">
        <v>0.28999999999999998</v>
      </c>
      <c r="X366" s="3">
        <v>0.06</v>
      </c>
      <c r="Y366" s="3">
        <v>1.01</v>
      </c>
      <c r="Z366" s="3">
        <v>0.1</v>
      </c>
      <c r="AA366" s="3">
        <v>3.04</v>
      </c>
      <c r="AB366" s="3">
        <v>0.09</v>
      </c>
      <c r="AC366" s="3">
        <v>0.56999999999999995</v>
      </c>
      <c r="AD366" s="3">
        <v>0.02</v>
      </c>
      <c r="AE366" s="3">
        <v>107</v>
      </c>
      <c r="AF366" s="3">
        <v>59</v>
      </c>
      <c r="AG366" s="3">
        <v>85</v>
      </c>
      <c r="AH366" s="3">
        <v>21</v>
      </c>
      <c r="AI366" s="3">
        <v>21</v>
      </c>
      <c r="AJ366" s="3">
        <v>20</v>
      </c>
    </row>
    <row r="367" spans="1:36" x14ac:dyDescent="0.25">
      <c r="A367" s="7">
        <v>3953</v>
      </c>
      <c r="B367" s="3" t="s">
        <v>5</v>
      </c>
      <c r="C367" s="3" t="s">
        <v>657</v>
      </c>
      <c r="D367" s="3"/>
      <c r="E367" s="3">
        <v>48.4</v>
      </c>
      <c r="F367" s="3">
        <v>0.55000000000000004</v>
      </c>
      <c r="G367" s="3">
        <v>0.57999999999999996</v>
      </c>
      <c r="H367" s="3">
        <v>0.08</v>
      </c>
      <c r="I367" s="3">
        <v>12.53</v>
      </c>
      <c r="J367" s="3">
        <v>0.21</v>
      </c>
      <c r="K367" s="3">
        <v>0.27</v>
      </c>
      <c r="L367" s="3">
        <v>0.04</v>
      </c>
      <c r="M367" s="3">
        <v>14.27</v>
      </c>
      <c r="N367" s="3">
        <v>0.15</v>
      </c>
      <c r="O367" s="3">
        <v>0.28999999999999998</v>
      </c>
      <c r="P367" s="3">
        <v>0.02</v>
      </c>
      <c r="Q367" s="3">
        <v>10.46</v>
      </c>
      <c r="R367" s="3">
        <v>0.2</v>
      </c>
      <c r="S367" s="3">
        <v>5.81</v>
      </c>
      <c r="T367" s="3">
        <v>0.08</v>
      </c>
      <c r="U367" s="3">
        <v>2.4300000000000002</v>
      </c>
      <c r="V367" s="3">
        <v>0.32</v>
      </c>
      <c r="W367" s="3">
        <v>0.3</v>
      </c>
      <c r="X367" s="3">
        <v>0.06</v>
      </c>
      <c r="Y367" s="3">
        <v>1.01</v>
      </c>
      <c r="Z367" s="3">
        <v>0.1</v>
      </c>
      <c r="AA367" s="3">
        <v>3.09</v>
      </c>
      <c r="AB367" s="3">
        <v>0.1</v>
      </c>
      <c r="AC367" s="3">
        <v>0.52</v>
      </c>
      <c r="AD367" s="3">
        <v>0.02</v>
      </c>
      <c r="AE367" s="3">
        <v>0</v>
      </c>
      <c r="AF367" s="3">
        <v>21</v>
      </c>
      <c r="AG367" s="3">
        <v>69</v>
      </c>
      <c r="AH367" s="3">
        <v>21</v>
      </c>
      <c r="AI367" s="3">
        <v>78</v>
      </c>
      <c r="AJ367" s="3">
        <v>22</v>
      </c>
    </row>
    <row r="368" spans="1:36" x14ac:dyDescent="0.25">
      <c r="A368" s="7">
        <v>3959</v>
      </c>
      <c r="B368" s="3" t="s">
        <v>4</v>
      </c>
      <c r="C368" s="3" t="s">
        <v>658</v>
      </c>
      <c r="D368" s="3"/>
      <c r="E368" s="3">
        <v>51.65</v>
      </c>
      <c r="F368" s="3">
        <v>0.46</v>
      </c>
      <c r="G368" s="3">
        <v>0.63</v>
      </c>
      <c r="H368" s="3">
        <v>0.08</v>
      </c>
      <c r="I368" s="3">
        <v>18.39</v>
      </c>
      <c r="J368" s="3">
        <v>0.22</v>
      </c>
      <c r="K368" s="3">
        <v>0.03</v>
      </c>
      <c r="L368" s="3">
        <v>0.04</v>
      </c>
      <c r="M368" s="3">
        <v>9.07</v>
      </c>
      <c r="N368" s="3">
        <v>0.08</v>
      </c>
      <c r="O368" s="3">
        <v>0.16</v>
      </c>
      <c r="P368" s="3">
        <v>0.01</v>
      </c>
      <c r="Q368" s="3">
        <v>4.2699999999999996</v>
      </c>
      <c r="R368" s="3">
        <v>0.1</v>
      </c>
      <c r="S368" s="3">
        <v>8.4700000000000006</v>
      </c>
      <c r="T368" s="3">
        <v>0.1</v>
      </c>
      <c r="U368" s="3">
        <v>2.74</v>
      </c>
      <c r="V368" s="3">
        <v>0.25</v>
      </c>
      <c r="W368" s="3">
        <v>0.28999999999999998</v>
      </c>
      <c r="X368" s="3">
        <v>0.06</v>
      </c>
      <c r="Y368" s="3">
        <v>0.85</v>
      </c>
      <c r="Z368" s="3">
        <v>0.09</v>
      </c>
      <c r="AA368" s="3">
        <v>2.88</v>
      </c>
      <c r="AB368" s="3">
        <v>0.08</v>
      </c>
      <c r="AC368" s="3">
        <v>0.48</v>
      </c>
      <c r="AD368" s="3">
        <v>0.02</v>
      </c>
      <c r="AE368" s="3">
        <v>0</v>
      </c>
      <c r="AF368" s="3">
        <v>20</v>
      </c>
      <c r="AG368" s="3">
        <v>111</v>
      </c>
      <c r="AH368" s="3">
        <v>21</v>
      </c>
      <c r="AI368" s="3">
        <v>32</v>
      </c>
      <c r="AJ368" s="3">
        <v>18</v>
      </c>
    </row>
    <row r="369" spans="1:36" x14ac:dyDescent="0.25">
      <c r="A369" s="7">
        <v>3961</v>
      </c>
      <c r="B369" s="3" t="s">
        <v>4</v>
      </c>
      <c r="C369" s="3" t="s">
        <v>659</v>
      </c>
      <c r="D369" s="3"/>
      <c r="E369" s="3">
        <v>51.1</v>
      </c>
      <c r="F369" s="3">
        <v>0.52</v>
      </c>
      <c r="G369" s="3">
        <v>0.53</v>
      </c>
      <c r="H369" s="3">
        <v>0.08</v>
      </c>
      <c r="I369" s="3">
        <v>18.22</v>
      </c>
      <c r="J369" s="3">
        <v>0.25</v>
      </c>
      <c r="K369" s="3">
        <v>0.05</v>
      </c>
      <c r="L369" s="3">
        <v>0.03</v>
      </c>
      <c r="M369" s="3">
        <v>9.57</v>
      </c>
      <c r="N369" s="3">
        <v>0.09</v>
      </c>
      <c r="O369" s="3">
        <v>0.17</v>
      </c>
      <c r="P369" s="3">
        <v>0.01</v>
      </c>
      <c r="Q369" s="3">
        <v>4.6100000000000003</v>
      </c>
      <c r="R369" s="3">
        <v>0.14000000000000001</v>
      </c>
      <c r="S369" s="3">
        <v>8.43</v>
      </c>
      <c r="T369" s="3">
        <v>0.08</v>
      </c>
      <c r="U369" s="3">
        <v>2.88</v>
      </c>
      <c r="V369" s="3">
        <v>0.27</v>
      </c>
      <c r="W369" s="3">
        <v>0.25</v>
      </c>
      <c r="X369" s="3">
        <v>0.06</v>
      </c>
      <c r="Y369" s="3">
        <v>0.81</v>
      </c>
      <c r="Z369" s="3">
        <v>0.09</v>
      </c>
      <c r="AA369" s="3">
        <v>2.81</v>
      </c>
      <c r="AB369" s="3">
        <v>7.0000000000000007E-2</v>
      </c>
      <c r="AC369" s="3">
        <v>0.47</v>
      </c>
      <c r="AD369" s="3">
        <v>0.02</v>
      </c>
      <c r="AE369" s="3">
        <v>0</v>
      </c>
      <c r="AF369" s="3">
        <v>20</v>
      </c>
      <c r="AG369" s="3">
        <v>63</v>
      </c>
      <c r="AH369" s="3">
        <v>13</v>
      </c>
      <c r="AI369" s="3">
        <v>26</v>
      </c>
      <c r="AJ369" s="3">
        <v>17</v>
      </c>
    </row>
    <row r="370" spans="1:36" x14ac:dyDescent="0.25">
      <c r="A370" s="7">
        <v>3970</v>
      </c>
      <c r="B370" s="3" t="s">
        <v>5</v>
      </c>
      <c r="C370" s="3" t="s">
        <v>660</v>
      </c>
      <c r="D370" s="3"/>
      <c r="E370" s="3">
        <v>44.03</v>
      </c>
      <c r="F370" s="3">
        <v>0.35</v>
      </c>
      <c r="G370" s="3">
        <v>0.96</v>
      </c>
      <c r="H370" s="3">
        <v>7.0000000000000007E-2</v>
      </c>
      <c r="I370" s="3">
        <v>8.31</v>
      </c>
      <c r="J370" s="3">
        <v>0.1</v>
      </c>
      <c r="K370" s="3">
        <v>0.2</v>
      </c>
      <c r="L370" s="3">
        <v>0.03</v>
      </c>
      <c r="M370" s="3">
        <v>12.82</v>
      </c>
      <c r="N370" s="3">
        <v>7.0000000000000007E-2</v>
      </c>
      <c r="O370" s="3">
        <v>0.18</v>
      </c>
      <c r="P370" s="3">
        <v>0.01</v>
      </c>
      <c r="Q370" s="3">
        <v>7.88</v>
      </c>
      <c r="R370" s="3">
        <v>0.12</v>
      </c>
      <c r="S370" s="3">
        <v>5.87</v>
      </c>
      <c r="T370" s="3">
        <v>0.04</v>
      </c>
      <c r="U370" s="3">
        <v>1.82</v>
      </c>
      <c r="V370" s="3">
        <v>0.26</v>
      </c>
      <c r="W370" s="3">
        <v>0.38</v>
      </c>
      <c r="X370" s="3">
        <v>0.06</v>
      </c>
      <c r="Y370" s="3">
        <v>0.97</v>
      </c>
      <c r="Z370" s="3">
        <v>0.08</v>
      </c>
      <c r="AA370" s="3">
        <v>15.81</v>
      </c>
      <c r="AB370" s="3">
        <v>0.15</v>
      </c>
      <c r="AC370" s="3">
        <v>0.65</v>
      </c>
      <c r="AD370" s="3">
        <v>0.02</v>
      </c>
      <c r="AE370" s="3">
        <v>737</v>
      </c>
      <c r="AF370" s="3">
        <v>48</v>
      </c>
      <c r="AG370" s="3">
        <v>100</v>
      </c>
      <c r="AH370" s="3">
        <v>11</v>
      </c>
      <c r="AI370" s="3">
        <v>55</v>
      </c>
      <c r="AJ370" s="3">
        <v>15</v>
      </c>
    </row>
    <row r="371" spans="1:36" x14ac:dyDescent="0.25">
      <c r="A371" s="7">
        <v>3975</v>
      </c>
      <c r="B371" s="3" t="s">
        <v>5</v>
      </c>
      <c r="C371" s="3" t="s">
        <v>661</v>
      </c>
      <c r="D371" s="3"/>
      <c r="E371" s="3">
        <v>43.76</v>
      </c>
      <c r="F371" s="3">
        <v>0.28000000000000003</v>
      </c>
      <c r="G371" s="3">
        <v>0.95</v>
      </c>
      <c r="H371" s="3">
        <v>7.0000000000000007E-2</v>
      </c>
      <c r="I371" s="3">
        <v>8.34</v>
      </c>
      <c r="J371" s="3">
        <v>0.09</v>
      </c>
      <c r="K371" s="3">
        <v>0.19</v>
      </c>
      <c r="L371" s="3">
        <v>0.03</v>
      </c>
      <c r="M371" s="3">
        <v>14.74</v>
      </c>
      <c r="N371" s="3">
        <v>7.0000000000000007E-2</v>
      </c>
      <c r="O371" s="3">
        <v>0.2</v>
      </c>
      <c r="P371" s="3">
        <v>0.01</v>
      </c>
      <c r="Q371" s="3">
        <v>7.54</v>
      </c>
      <c r="R371" s="3">
        <v>0.08</v>
      </c>
      <c r="S371" s="3">
        <v>5.09</v>
      </c>
      <c r="T371" s="3">
        <v>0.04</v>
      </c>
      <c r="U371" s="3">
        <v>1.86</v>
      </c>
      <c r="V371" s="3">
        <v>0.17</v>
      </c>
      <c r="W371" s="3">
        <v>0.4</v>
      </c>
      <c r="X371" s="3">
        <v>0.06</v>
      </c>
      <c r="Y371" s="3">
        <v>0.75</v>
      </c>
      <c r="Z371" s="3">
        <v>7.0000000000000007E-2</v>
      </c>
      <c r="AA371" s="3">
        <v>15.21</v>
      </c>
      <c r="AB371" s="3">
        <v>0.13</v>
      </c>
      <c r="AC371" s="3">
        <v>0.88</v>
      </c>
      <c r="AD371" s="3">
        <v>0.02</v>
      </c>
      <c r="AE371" s="3">
        <v>562</v>
      </c>
      <c r="AF371" s="3">
        <v>44</v>
      </c>
      <c r="AG371" s="3">
        <v>163</v>
      </c>
      <c r="AH371" s="3">
        <v>11</v>
      </c>
      <c r="AI371" s="3">
        <v>33</v>
      </c>
      <c r="AJ371" s="3">
        <v>14</v>
      </c>
    </row>
    <row r="372" spans="1:36" x14ac:dyDescent="0.25">
      <c r="A372" s="7">
        <v>3977</v>
      </c>
      <c r="B372" s="3" t="s">
        <v>5</v>
      </c>
      <c r="C372" s="3" t="s">
        <v>662</v>
      </c>
      <c r="D372" s="3"/>
      <c r="E372" s="3">
        <v>45.07</v>
      </c>
      <c r="F372" s="3">
        <v>0.6</v>
      </c>
      <c r="G372" s="3">
        <v>1.01</v>
      </c>
      <c r="H372" s="3">
        <v>0.09</v>
      </c>
      <c r="I372" s="3">
        <v>8.74</v>
      </c>
      <c r="J372" s="3">
        <v>0.21</v>
      </c>
      <c r="K372" s="3">
        <v>0.17</v>
      </c>
      <c r="L372" s="3">
        <v>0.05</v>
      </c>
      <c r="M372" s="3">
        <v>14.3</v>
      </c>
      <c r="N372" s="3">
        <v>0.17</v>
      </c>
      <c r="O372" s="3">
        <v>0.19</v>
      </c>
      <c r="P372" s="3">
        <v>0.02</v>
      </c>
      <c r="Q372" s="3">
        <v>7.43</v>
      </c>
      <c r="R372" s="3">
        <v>0.19</v>
      </c>
      <c r="S372" s="3">
        <v>4.66</v>
      </c>
      <c r="T372" s="3">
        <v>0.08</v>
      </c>
      <c r="U372" s="3">
        <v>1.82</v>
      </c>
      <c r="V372" s="3">
        <v>0.34</v>
      </c>
      <c r="W372" s="3">
        <v>0.39</v>
      </c>
      <c r="X372" s="3">
        <v>7.0000000000000007E-2</v>
      </c>
      <c r="Y372" s="3">
        <v>0.65</v>
      </c>
      <c r="Z372" s="3">
        <v>0.11</v>
      </c>
      <c r="AA372" s="3">
        <v>14.78</v>
      </c>
      <c r="AB372" s="3">
        <v>0.27</v>
      </c>
      <c r="AC372" s="3">
        <v>0.69</v>
      </c>
      <c r="AD372" s="3">
        <v>0.03</v>
      </c>
      <c r="AE372" s="3">
        <v>533</v>
      </c>
      <c r="AF372" s="3">
        <v>86</v>
      </c>
      <c r="AG372" s="3">
        <v>103</v>
      </c>
      <c r="AH372" s="3">
        <v>28</v>
      </c>
      <c r="AI372" s="3">
        <v>19</v>
      </c>
      <c r="AJ372" s="3">
        <v>25</v>
      </c>
    </row>
    <row r="373" spans="1:36" x14ac:dyDescent="0.25">
      <c r="A373" s="7">
        <v>3978</v>
      </c>
      <c r="B373" s="3" t="s">
        <v>5</v>
      </c>
      <c r="C373" s="3" t="s">
        <v>663</v>
      </c>
      <c r="D373" s="3"/>
      <c r="E373" s="3">
        <v>44.06</v>
      </c>
      <c r="F373" s="3">
        <v>0.56000000000000005</v>
      </c>
      <c r="G373" s="3">
        <v>0.97</v>
      </c>
      <c r="H373" s="3">
        <v>0.09</v>
      </c>
      <c r="I373" s="3">
        <v>8.49</v>
      </c>
      <c r="J373" s="3">
        <v>0.23</v>
      </c>
      <c r="K373" s="3">
        <v>0.22</v>
      </c>
      <c r="L373" s="3">
        <v>0.04</v>
      </c>
      <c r="M373" s="3">
        <v>14.83</v>
      </c>
      <c r="N373" s="3">
        <v>0.16</v>
      </c>
      <c r="O373" s="3">
        <v>0.21</v>
      </c>
      <c r="P373" s="3">
        <v>0.02</v>
      </c>
      <c r="Q373" s="3">
        <v>7.63</v>
      </c>
      <c r="R373" s="3">
        <v>0.28000000000000003</v>
      </c>
      <c r="S373" s="3">
        <v>5.1100000000000003</v>
      </c>
      <c r="T373" s="3">
        <v>0.08</v>
      </c>
      <c r="U373" s="3">
        <v>1.77</v>
      </c>
      <c r="V373" s="3">
        <v>0.51</v>
      </c>
      <c r="W373" s="3">
        <v>0.42</v>
      </c>
      <c r="X373" s="3">
        <v>7.0000000000000007E-2</v>
      </c>
      <c r="Y373" s="3">
        <v>0.7</v>
      </c>
      <c r="Z373" s="3">
        <v>0.12</v>
      </c>
      <c r="AA373" s="3">
        <v>14.63</v>
      </c>
      <c r="AB373" s="3">
        <v>0.25</v>
      </c>
      <c r="AC373" s="3">
        <v>0.86</v>
      </c>
      <c r="AD373" s="3">
        <v>0.03</v>
      </c>
      <c r="AE373" s="3">
        <v>457</v>
      </c>
      <c r="AF373" s="3">
        <v>76</v>
      </c>
      <c r="AG373" s="3">
        <v>187</v>
      </c>
      <c r="AH373" s="3">
        <v>29</v>
      </c>
      <c r="AI373" s="3">
        <v>39</v>
      </c>
      <c r="AJ373" s="3">
        <v>20</v>
      </c>
    </row>
    <row r="374" spans="1:36" x14ac:dyDescent="0.25">
      <c r="A374" s="7">
        <v>3984</v>
      </c>
      <c r="B374" s="3" t="s">
        <v>4</v>
      </c>
      <c r="C374" s="3" t="s">
        <v>664</v>
      </c>
      <c r="D374" s="3"/>
      <c r="E374" s="3">
        <v>43.46</v>
      </c>
      <c r="F374" s="3">
        <v>0.42</v>
      </c>
      <c r="G374" s="3">
        <v>1.04</v>
      </c>
      <c r="H374" s="3">
        <v>0.09</v>
      </c>
      <c r="I374" s="3">
        <v>8.7100000000000009</v>
      </c>
      <c r="J374" s="3">
        <v>0.12</v>
      </c>
      <c r="K374" s="3">
        <v>0.2</v>
      </c>
      <c r="L374" s="3">
        <v>0.03</v>
      </c>
      <c r="M374" s="3">
        <v>16.84</v>
      </c>
      <c r="N374" s="3">
        <v>0.13</v>
      </c>
      <c r="O374" s="3">
        <v>0.3</v>
      </c>
      <c r="P374" s="3">
        <v>0.01</v>
      </c>
      <c r="Q374" s="3">
        <v>7.18</v>
      </c>
      <c r="R374" s="3">
        <v>0.11</v>
      </c>
      <c r="S374" s="3">
        <v>5.88</v>
      </c>
      <c r="T374" s="3">
        <v>0.06</v>
      </c>
      <c r="U374" s="3">
        <v>1.98</v>
      </c>
      <c r="V374" s="3">
        <v>0.22</v>
      </c>
      <c r="W374" s="3">
        <v>0.4</v>
      </c>
      <c r="X374" s="3">
        <v>0.06</v>
      </c>
      <c r="Y374" s="3">
        <v>2.35</v>
      </c>
      <c r="Z374" s="3">
        <v>0.1</v>
      </c>
      <c r="AA374" s="3">
        <v>10.75</v>
      </c>
      <c r="AB374" s="3">
        <v>0.14000000000000001</v>
      </c>
      <c r="AC374" s="3">
        <v>0.77</v>
      </c>
      <c r="AD374" s="3">
        <v>0.02</v>
      </c>
      <c r="AE374" s="3">
        <v>772</v>
      </c>
      <c r="AF374" s="3">
        <v>59</v>
      </c>
      <c r="AG374" s="3">
        <v>148</v>
      </c>
      <c r="AH374" s="3">
        <v>16</v>
      </c>
      <c r="AI374" s="3">
        <v>67</v>
      </c>
      <c r="AJ374" s="3">
        <v>17</v>
      </c>
    </row>
    <row r="375" spans="1:36" x14ac:dyDescent="0.25">
      <c r="A375" s="7">
        <v>3986</v>
      </c>
      <c r="B375" s="3" t="s">
        <v>4</v>
      </c>
      <c r="C375" s="3" t="s">
        <v>665</v>
      </c>
      <c r="D375" s="3"/>
      <c r="E375" s="3">
        <v>49.99</v>
      </c>
      <c r="F375" s="3">
        <v>0.5</v>
      </c>
      <c r="G375" s="3">
        <v>1.1299999999999999</v>
      </c>
      <c r="H375" s="3">
        <v>0.08</v>
      </c>
      <c r="I375" s="3">
        <v>9.36</v>
      </c>
      <c r="J375" s="3">
        <v>0.19</v>
      </c>
      <c r="K375" s="3">
        <v>0.22</v>
      </c>
      <c r="L375" s="3">
        <v>0.03</v>
      </c>
      <c r="M375" s="3">
        <v>11.72</v>
      </c>
      <c r="N375" s="3">
        <v>0.1</v>
      </c>
      <c r="O375" s="3">
        <v>0.17</v>
      </c>
      <c r="P375" s="3">
        <v>0.01</v>
      </c>
      <c r="Q375" s="3">
        <v>6.74</v>
      </c>
      <c r="R375" s="3">
        <v>0.13</v>
      </c>
      <c r="S375" s="3">
        <v>6.18</v>
      </c>
      <c r="T375" s="3">
        <v>0.06</v>
      </c>
      <c r="U375" s="3">
        <v>1.56</v>
      </c>
      <c r="V375" s="3">
        <v>0.22</v>
      </c>
      <c r="W375" s="3">
        <v>0.47</v>
      </c>
      <c r="X375" s="3">
        <v>0.06</v>
      </c>
      <c r="Y375" s="3">
        <v>1.34</v>
      </c>
      <c r="Z375" s="3">
        <v>0.1</v>
      </c>
      <c r="AA375" s="3">
        <v>10.16</v>
      </c>
      <c r="AB375" s="3">
        <v>0.13</v>
      </c>
      <c r="AC375" s="3">
        <v>0.76</v>
      </c>
      <c r="AD375" s="3">
        <v>0.02</v>
      </c>
      <c r="AE375" s="3">
        <v>502</v>
      </c>
      <c r="AF375" s="3">
        <v>52</v>
      </c>
      <c r="AG375" s="3">
        <v>104</v>
      </c>
      <c r="AH375" s="3">
        <v>14</v>
      </c>
      <c r="AI375" s="3">
        <v>80</v>
      </c>
      <c r="AJ375" s="3">
        <v>17</v>
      </c>
    </row>
    <row r="376" spans="1:36" x14ac:dyDescent="0.25">
      <c r="A376" s="7">
        <v>3991</v>
      </c>
      <c r="B376" s="3" t="s">
        <v>4</v>
      </c>
      <c r="C376" s="3" t="s">
        <v>666</v>
      </c>
      <c r="D376" s="3"/>
      <c r="E376" s="3">
        <v>43.82</v>
      </c>
      <c r="F376" s="3">
        <v>0.48</v>
      </c>
      <c r="G376" s="3">
        <v>1.01</v>
      </c>
      <c r="H376" s="3">
        <v>0.08</v>
      </c>
      <c r="I376" s="3">
        <v>8.75</v>
      </c>
      <c r="J376" s="3">
        <v>0.21</v>
      </c>
      <c r="K376" s="3">
        <v>0.22</v>
      </c>
      <c r="L376" s="3">
        <v>0.04</v>
      </c>
      <c r="M376" s="3">
        <v>16.989999999999998</v>
      </c>
      <c r="N376" s="3">
        <v>0.14000000000000001</v>
      </c>
      <c r="O376" s="3">
        <v>0.34</v>
      </c>
      <c r="P376" s="3">
        <v>0.02</v>
      </c>
      <c r="Q376" s="3">
        <v>6.68</v>
      </c>
      <c r="R376" s="3">
        <v>0.14000000000000001</v>
      </c>
      <c r="S376" s="3">
        <v>6.88</v>
      </c>
      <c r="T376" s="3">
        <v>7.0000000000000007E-2</v>
      </c>
      <c r="U376" s="3">
        <v>1.63</v>
      </c>
      <c r="V376" s="3">
        <v>0.22</v>
      </c>
      <c r="W376" s="3">
        <v>0.45</v>
      </c>
      <c r="X376" s="3">
        <v>0.06</v>
      </c>
      <c r="Y376" s="3">
        <v>0.97</v>
      </c>
      <c r="Z376" s="3">
        <v>0.1</v>
      </c>
      <c r="AA376" s="3">
        <v>11.06</v>
      </c>
      <c r="AB376" s="3">
        <v>0.15</v>
      </c>
      <c r="AC376" s="3">
        <v>1.0900000000000001</v>
      </c>
      <c r="AD376" s="3">
        <v>0.03</v>
      </c>
      <c r="AE376" s="3">
        <v>521</v>
      </c>
      <c r="AF376" s="3">
        <v>64</v>
      </c>
      <c r="AG376" s="3">
        <v>184</v>
      </c>
      <c r="AH376" s="3">
        <v>20</v>
      </c>
      <c r="AI376" s="3">
        <v>60</v>
      </c>
      <c r="AJ376" s="3">
        <v>19</v>
      </c>
    </row>
    <row r="377" spans="1:36" x14ac:dyDescent="0.25">
      <c r="A377" s="7">
        <v>3993</v>
      </c>
      <c r="B377" s="3" t="s">
        <v>4</v>
      </c>
      <c r="C377" s="3" t="s">
        <v>667</v>
      </c>
      <c r="D377" s="3"/>
      <c r="E377" s="3">
        <v>46.56</v>
      </c>
      <c r="F377" s="3">
        <v>0.44</v>
      </c>
      <c r="G377" s="3">
        <v>1.02</v>
      </c>
      <c r="H377" s="3">
        <v>7.0000000000000007E-2</v>
      </c>
      <c r="I377" s="3">
        <v>10.02</v>
      </c>
      <c r="J377" s="3">
        <v>0.2</v>
      </c>
      <c r="K377" s="3">
        <v>0.39</v>
      </c>
      <c r="L377" s="3">
        <v>0.03</v>
      </c>
      <c r="M377" s="3">
        <v>17.21</v>
      </c>
      <c r="N377" s="3">
        <v>0.12</v>
      </c>
      <c r="O377" s="3">
        <v>0.34</v>
      </c>
      <c r="P377" s="3">
        <v>0.01</v>
      </c>
      <c r="Q377" s="3">
        <v>6.88</v>
      </c>
      <c r="R377" s="3">
        <v>0.13</v>
      </c>
      <c r="S377" s="3">
        <v>7.4</v>
      </c>
      <c r="T377" s="3">
        <v>0.06</v>
      </c>
      <c r="U377" s="3">
        <v>2.21</v>
      </c>
      <c r="V377" s="3">
        <v>0.22</v>
      </c>
      <c r="W377" s="3">
        <v>0.47</v>
      </c>
      <c r="X377" s="3">
        <v>0.06</v>
      </c>
      <c r="Y377" s="3">
        <v>0.89</v>
      </c>
      <c r="Z377" s="3">
        <v>0.08</v>
      </c>
      <c r="AA377" s="3">
        <v>5.82</v>
      </c>
      <c r="AB377" s="3">
        <v>0.08</v>
      </c>
      <c r="AC377" s="3">
        <v>0.7</v>
      </c>
      <c r="AD377" s="3">
        <v>0.02</v>
      </c>
      <c r="AE377" s="3">
        <v>308</v>
      </c>
      <c r="AF377" s="3">
        <v>47</v>
      </c>
      <c r="AG377" s="3">
        <v>231</v>
      </c>
      <c r="AH377" s="3">
        <v>15</v>
      </c>
      <c r="AI377" s="3">
        <v>73</v>
      </c>
      <c r="AJ377" s="3">
        <v>16</v>
      </c>
    </row>
    <row r="378" spans="1:36" x14ac:dyDescent="0.25">
      <c r="A378" s="19">
        <f>COUNT(A8:A377)</f>
        <v>370</v>
      </c>
    </row>
  </sheetData>
  <autoFilter ref="A7:AJ378" xr:uid="{0E68DEC6-C517-450B-8424-576F9F37734F}">
    <sortState xmlns:xlrd2="http://schemas.microsoft.com/office/spreadsheetml/2017/richdata2" ref="A8:AJ377">
      <sortCondition ref="A7:A377"/>
    </sortState>
  </autoFilter>
  <mergeCells count="1">
    <mergeCell ref="A2:B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3C99-75B6-42FB-B9D7-AE9B49506F66}">
  <dimension ref="A1:AG232"/>
  <sheetViews>
    <sheetView zoomScale="85" zoomScaleNormal="85" workbookViewId="0">
      <pane xSplit="1" topLeftCell="B1" activePane="topRight" state="frozen"/>
      <selection pane="topRight" activeCell="A5" sqref="A5:XFD5"/>
    </sheetView>
  </sheetViews>
  <sheetFormatPr defaultRowHeight="15" x14ac:dyDescent="0.25"/>
  <cols>
    <col min="1" max="2" width="9.140625" style="1"/>
    <col min="3" max="3" width="36.7109375" style="1" bestFit="1" customWidth="1"/>
    <col min="4" max="4" width="25.5703125" style="1" bestFit="1" customWidth="1"/>
    <col min="5" max="5" width="10.5703125" style="1" bestFit="1" customWidth="1"/>
    <col min="6" max="30" width="9.140625" style="1"/>
    <col min="34" max="16384" width="9.140625" style="1"/>
  </cols>
  <sheetData>
    <row r="1" spans="1:33" x14ac:dyDescent="0.25">
      <c r="A1" s="1" t="s">
        <v>90</v>
      </c>
      <c r="B1" s="2" t="s">
        <v>91</v>
      </c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pans="1:33" x14ac:dyDescent="0.25">
      <c r="A2" s="27"/>
      <c r="B2" s="27"/>
      <c r="D2" s="1" t="s">
        <v>1290</v>
      </c>
    </row>
    <row r="3" spans="1:33" s="23" customFormat="1" x14ac:dyDescent="0.25">
      <c r="C3" s="23" t="s">
        <v>1286</v>
      </c>
      <c r="D3" s="23" t="s">
        <v>1288</v>
      </c>
      <c r="E3" s="23">
        <v>44.234939759036145</v>
      </c>
      <c r="F3" s="23">
        <v>10.931030274506639</v>
      </c>
      <c r="G3" s="23">
        <v>0.78277108433734899</v>
      </c>
      <c r="H3" s="23">
        <v>0.25740408231555512</v>
      </c>
      <c r="I3" s="23">
        <v>8.3967469879518042</v>
      </c>
      <c r="J3" s="23">
        <v>2.7319322691108447</v>
      </c>
      <c r="K3" s="23">
        <v>0.3809638554216867</v>
      </c>
      <c r="L3" s="23">
        <v>0.10211918500423971</v>
      </c>
      <c r="M3" s="23">
        <v>15.868674698795186</v>
      </c>
      <c r="N3" s="23">
        <v>3.178852673484212</v>
      </c>
      <c r="O3" s="23">
        <v>0.27301204819277103</v>
      </c>
      <c r="P3" s="23">
        <v>8.2132179899367413E-2</v>
      </c>
      <c r="Q3" s="23">
        <v>7.8287951807228895</v>
      </c>
      <c r="R3" s="23">
        <v>2.3894107843905541</v>
      </c>
      <c r="S3" s="23">
        <v>5.9169879518072301</v>
      </c>
      <c r="T3" s="23">
        <v>1.3717255778138233</v>
      </c>
      <c r="U3" s="23">
        <v>2.3846987951807233</v>
      </c>
      <c r="V3" s="23">
        <v>0.92843474014377936</v>
      </c>
      <c r="W3" s="23">
        <v>0.35048192771084352</v>
      </c>
      <c r="X3" s="23">
        <v>0.14701006780238901</v>
      </c>
      <c r="Y3" s="23">
        <v>0.93590361445783155</v>
      </c>
      <c r="Z3" s="23">
        <v>0.72485496639248426</v>
      </c>
      <c r="AA3" s="23">
        <v>11.926385542168674</v>
      </c>
      <c r="AB3" s="23">
        <v>10.791067170526409</v>
      </c>
      <c r="AC3" s="23">
        <v>0.60614457831325308</v>
      </c>
      <c r="AD3" s="23">
        <v>0.26259879128370256</v>
      </c>
      <c r="AE3"/>
      <c r="AF3"/>
      <c r="AG3"/>
    </row>
    <row r="4" spans="1:33" s="23" customFormat="1" x14ac:dyDescent="0.25">
      <c r="C4" s="23" t="s">
        <v>1294</v>
      </c>
      <c r="D4" s="23" t="s">
        <v>1287</v>
      </c>
      <c r="E4" s="23">
        <v>46.765909090909091</v>
      </c>
      <c r="F4" s="23">
        <v>5.8655265285667415</v>
      </c>
      <c r="G4" s="23">
        <v>1.0312121212121215</v>
      </c>
      <c r="H4" s="23">
        <v>0.56766164298872379</v>
      </c>
      <c r="I4" s="23">
        <v>9.9090909090909101</v>
      </c>
      <c r="J4" s="23">
        <v>2.9916758444197451</v>
      </c>
      <c r="K4" s="23">
        <v>0.32401515151515153</v>
      </c>
      <c r="L4" s="23">
        <v>0.36531876668930763</v>
      </c>
      <c r="M4" s="23">
        <v>15.118939393939405</v>
      </c>
      <c r="N4" s="23">
        <v>3.7098411022484652</v>
      </c>
      <c r="O4" s="23">
        <v>0.27583333333333332</v>
      </c>
      <c r="P4" s="23">
        <v>9.5438255221878654E-2</v>
      </c>
      <c r="Q4" s="23">
        <v>9.8444696969696963</v>
      </c>
      <c r="R4" s="23">
        <v>3.5396110353423706</v>
      </c>
      <c r="S4" s="23">
        <v>5.7672727272727222</v>
      </c>
      <c r="T4" s="23">
        <v>1.603892731611992</v>
      </c>
      <c r="U4" s="23">
        <v>2.8768181818181802</v>
      </c>
      <c r="V4" s="23">
        <v>0.9164945814541674</v>
      </c>
      <c r="W4" s="23">
        <v>0.52333333333333332</v>
      </c>
      <c r="X4" s="23">
        <v>0.48047315526073747</v>
      </c>
      <c r="Y4" s="23">
        <v>1.3502272727272731</v>
      </c>
      <c r="Z4" s="23">
        <v>0.9883909863237007</v>
      </c>
      <c r="AA4" s="23">
        <v>5.0951515151515139</v>
      </c>
      <c r="AB4" s="23">
        <v>2.2380803814121193</v>
      </c>
      <c r="AC4" s="23">
        <v>0.98356060606060591</v>
      </c>
      <c r="AD4" s="23">
        <v>0.46741310589888546</v>
      </c>
      <c r="AE4"/>
      <c r="AF4"/>
      <c r="AG4"/>
    </row>
    <row r="5" spans="1:33" x14ac:dyDescent="0.25">
      <c r="C5" s="3"/>
      <c r="D5" s="3"/>
      <c r="E5" s="4" t="s">
        <v>53</v>
      </c>
      <c r="F5" s="4" t="s">
        <v>92</v>
      </c>
      <c r="G5" s="4" t="s">
        <v>54</v>
      </c>
      <c r="H5" s="4" t="s">
        <v>92</v>
      </c>
      <c r="I5" s="4" t="s">
        <v>55</v>
      </c>
      <c r="J5" s="4" t="s">
        <v>92</v>
      </c>
      <c r="K5" s="4" t="s">
        <v>56</v>
      </c>
      <c r="L5" s="4" t="s">
        <v>92</v>
      </c>
      <c r="M5" s="4" t="s">
        <v>82</v>
      </c>
      <c r="N5" s="4" t="s">
        <v>92</v>
      </c>
      <c r="O5" s="4" t="s">
        <v>57</v>
      </c>
      <c r="P5" s="4" t="s">
        <v>92</v>
      </c>
      <c r="Q5" s="4" t="s">
        <v>58</v>
      </c>
      <c r="R5" s="4" t="s">
        <v>92</v>
      </c>
      <c r="S5" s="4" t="s">
        <v>59</v>
      </c>
      <c r="T5" s="4" t="s">
        <v>92</v>
      </c>
      <c r="U5" s="4" t="s">
        <v>60</v>
      </c>
      <c r="V5" s="4" t="s">
        <v>92</v>
      </c>
      <c r="W5" s="4" t="s">
        <v>61</v>
      </c>
      <c r="X5" s="4" t="s">
        <v>92</v>
      </c>
      <c r="Y5" s="4" t="s">
        <v>62</v>
      </c>
      <c r="Z5" s="4" t="s">
        <v>92</v>
      </c>
      <c r="AA5" s="4" t="s">
        <v>63</v>
      </c>
      <c r="AB5" s="4" t="s">
        <v>92</v>
      </c>
      <c r="AC5" s="4" t="s">
        <v>64</v>
      </c>
      <c r="AD5" s="4" t="s">
        <v>92</v>
      </c>
    </row>
    <row r="6" spans="1:33" x14ac:dyDescent="0.25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3" x14ac:dyDescent="0.25">
      <c r="A7" s="1">
        <f>SUBTOTAL(2,A10:A229)</f>
        <v>220</v>
      </c>
    </row>
    <row r="8" spans="1:33" s="6" customFormat="1" x14ac:dyDescent="0.25">
      <c r="A8" s="4" t="s">
        <v>0</v>
      </c>
      <c r="B8" s="4" t="s">
        <v>2</v>
      </c>
      <c r="C8" s="4" t="s">
        <v>71</v>
      </c>
      <c r="D8" s="4" t="s">
        <v>53</v>
      </c>
      <c r="E8" s="4" t="s">
        <v>99</v>
      </c>
      <c r="F8" s="4" t="s">
        <v>54</v>
      </c>
      <c r="G8" s="4" t="s">
        <v>100</v>
      </c>
      <c r="H8" s="4" t="s">
        <v>55</v>
      </c>
      <c r="I8" s="4" t="s">
        <v>101</v>
      </c>
      <c r="J8" s="4" t="s">
        <v>56</v>
      </c>
      <c r="K8" s="4" t="s">
        <v>102</v>
      </c>
      <c r="L8" s="4" t="s">
        <v>82</v>
      </c>
      <c r="M8" s="4" t="s">
        <v>103</v>
      </c>
      <c r="N8" s="4" t="s">
        <v>57</v>
      </c>
      <c r="O8" s="4" t="s">
        <v>104</v>
      </c>
      <c r="P8" s="4" t="s">
        <v>58</v>
      </c>
      <c r="Q8" s="4" t="s">
        <v>105</v>
      </c>
      <c r="R8" s="4" t="s">
        <v>59</v>
      </c>
      <c r="S8" s="4" t="s">
        <v>106</v>
      </c>
      <c r="T8" s="4" t="s">
        <v>60</v>
      </c>
      <c r="U8" s="4" t="s">
        <v>107</v>
      </c>
      <c r="V8" s="4" t="s">
        <v>61</v>
      </c>
      <c r="W8" s="4" t="s">
        <v>108</v>
      </c>
      <c r="X8" s="4" t="s">
        <v>62</v>
      </c>
      <c r="Y8" s="4" t="s">
        <v>109</v>
      </c>
      <c r="Z8" s="4" t="s">
        <v>63</v>
      </c>
      <c r="AA8" s="4" t="s">
        <v>110</v>
      </c>
      <c r="AB8" s="4" t="s">
        <v>64</v>
      </c>
      <c r="AC8" s="4" t="s">
        <v>111</v>
      </c>
    </row>
    <row r="9" spans="1:33" x14ac:dyDescent="0.25">
      <c r="A9" s="7">
        <v>14</v>
      </c>
      <c r="B9" s="3" t="s">
        <v>3</v>
      </c>
      <c r="C9" s="20" t="s">
        <v>11</v>
      </c>
      <c r="D9" s="20">
        <v>46.3</v>
      </c>
      <c r="E9" s="20">
        <v>0.44</v>
      </c>
      <c r="F9" s="20">
        <v>0.86</v>
      </c>
      <c r="G9" s="20">
        <v>7.0000000000000007E-2</v>
      </c>
      <c r="H9" s="20">
        <v>9.89</v>
      </c>
      <c r="I9" s="20">
        <v>0.14000000000000001</v>
      </c>
      <c r="J9" s="20">
        <v>0.31</v>
      </c>
      <c r="K9" s="20">
        <v>0.03</v>
      </c>
      <c r="L9" s="20">
        <v>16</v>
      </c>
      <c r="M9" s="20">
        <v>0.11</v>
      </c>
      <c r="N9" s="20">
        <v>0.33</v>
      </c>
      <c r="O9" s="20">
        <v>0.01</v>
      </c>
      <c r="P9" s="20">
        <v>8.34</v>
      </c>
      <c r="Q9" s="20">
        <v>0.12</v>
      </c>
      <c r="R9" s="20">
        <v>6.36</v>
      </c>
      <c r="S9" s="20">
        <v>0.05</v>
      </c>
      <c r="T9" s="20">
        <v>2.76</v>
      </c>
      <c r="U9" s="20">
        <v>0.23</v>
      </c>
      <c r="V9" s="20">
        <v>0.48</v>
      </c>
      <c r="W9" s="20">
        <v>0.06</v>
      </c>
      <c r="X9" s="20">
        <v>0.87</v>
      </c>
      <c r="Y9" s="20">
        <v>0.08</v>
      </c>
      <c r="Z9" s="20">
        <v>6.61</v>
      </c>
      <c r="AA9" s="20">
        <v>0.08</v>
      </c>
      <c r="AB9" s="20">
        <v>0.78</v>
      </c>
      <c r="AC9" s="20">
        <v>0.02</v>
      </c>
    </row>
    <row r="10" spans="1:33" x14ac:dyDescent="0.25">
      <c r="A10" s="7">
        <v>33</v>
      </c>
      <c r="B10" s="3" t="s">
        <v>5</v>
      </c>
      <c r="C10" s="3" t="s">
        <v>13</v>
      </c>
      <c r="D10" s="20">
        <v>45.7</v>
      </c>
      <c r="E10" s="20">
        <v>0.37</v>
      </c>
      <c r="F10" s="20">
        <v>0.49</v>
      </c>
      <c r="G10" s="20">
        <v>0.06</v>
      </c>
      <c r="H10" s="20">
        <v>11.35</v>
      </c>
      <c r="I10" s="20">
        <v>0.11</v>
      </c>
      <c r="J10" s="20">
        <v>0.63</v>
      </c>
      <c r="K10" s="20">
        <v>0.03</v>
      </c>
      <c r="L10" s="20">
        <v>18</v>
      </c>
      <c r="M10" s="20">
        <v>0.1</v>
      </c>
      <c r="N10" s="20">
        <v>0.39</v>
      </c>
      <c r="O10" s="20">
        <v>0.01</v>
      </c>
      <c r="P10" s="20">
        <v>9.51</v>
      </c>
      <c r="Q10" s="20">
        <v>0.1</v>
      </c>
      <c r="R10" s="20">
        <v>7.84</v>
      </c>
      <c r="S10" s="20">
        <v>0.05</v>
      </c>
      <c r="T10" s="20">
        <v>2.78</v>
      </c>
      <c r="U10" s="20">
        <v>0.18</v>
      </c>
      <c r="V10" s="20">
        <v>0.12</v>
      </c>
      <c r="W10" s="20">
        <v>0.05</v>
      </c>
      <c r="X10" s="20">
        <v>0.56999999999999995</v>
      </c>
      <c r="Y10" s="20">
        <v>0.06</v>
      </c>
      <c r="Z10" s="20">
        <v>2.16</v>
      </c>
      <c r="AA10" s="20">
        <v>0.03</v>
      </c>
      <c r="AB10" s="20">
        <v>0.36</v>
      </c>
      <c r="AC10" s="20">
        <v>0.01</v>
      </c>
    </row>
    <row r="11" spans="1:33" x14ac:dyDescent="0.25">
      <c r="A11" s="7">
        <v>34</v>
      </c>
      <c r="B11" s="3" t="s">
        <v>6</v>
      </c>
      <c r="C11" s="3" t="s">
        <v>14</v>
      </c>
      <c r="D11" s="20">
        <v>45.7</v>
      </c>
      <c r="E11" s="20">
        <v>0.41</v>
      </c>
      <c r="F11" s="20">
        <v>0.48</v>
      </c>
      <c r="G11" s="20">
        <v>0.06</v>
      </c>
      <c r="H11" s="20">
        <v>10.87</v>
      </c>
      <c r="I11" s="20">
        <v>0.12</v>
      </c>
      <c r="J11" s="20">
        <v>0.61</v>
      </c>
      <c r="K11" s="20">
        <v>0.03</v>
      </c>
      <c r="L11" s="20">
        <v>18.8</v>
      </c>
      <c r="M11" s="20">
        <v>0.12</v>
      </c>
      <c r="N11" s="20">
        <v>0.41</v>
      </c>
      <c r="O11" s="20">
        <v>0.01</v>
      </c>
      <c r="P11" s="20">
        <v>10.83</v>
      </c>
      <c r="Q11" s="20">
        <v>0.12</v>
      </c>
      <c r="R11" s="20">
        <v>7.75</v>
      </c>
      <c r="S11" s="20">
        <v>0.05</v>
      </c>
      <c r="T11" s="20">
        <v>2.41</v>
      </c>
      <c r="U11" s="20">
        <v>0.2</v>
      </c>
      <c r="V11" s="20">
        <v>7.0000000000000007E-2</v>
      </c>
      <c r="W11" s="20">
        <v>0.05</v>
      </c>
      <c r="X11" s="20">
        <v>0.52</v>
      </c>
      <c r="Y11" s="20">
        <v>7.0000000000000007E-2</v>
      </c>
      <c r="Z11" s="20">
        <v>1.23</v>
      </c>
      <c r="AA11" s="20">
        <v>0.03</v>
      </c>
      <c r="AB11" s="20">
        <v>0.2</v>
      </c>
      <c r="AC11" s="20">
        <v>0.01</v>
      </c>
    </row>
    <row r="12" spans="1:33" x14ac:dyDescent="0.25">
      <c r="A12" s="7">
        <v>41</v>
      </c>
      <c r="B12" s="3" t="s">
        <v>7</v>
      </c>
      <c r="C12" s="20" t="s">
        <v>15</v>
      </c>
      <c r="D12" s="20">
        <v>46</v>
      </c>
      <c r="E12" s="20">
        <v>0.71</v>
      </c>
      <c r="F12" s="20">
        <v>0.72</v>
      </c>
      <c r="G12" s="20">
        <v>0.2</v>
      </c>
      <c r="H12" s="20">
        <v>10.02</v>
      </c>
      <c r="I12" s="20">
        <v>0.28999999999999998</v>
      </c>
      <c r="J12" s="20">
        <v>0.49</v>
      </c>
      <c r="K12" s="20">
        <v>0.06</v>
      </c>
      <c r="L12" s="20">
        <v>16.600000000000001</v>
      </c>
      <c r="M12" s="20">
        <v>0.21</v>
      </c>
      <c r="N12" s="20">
        <v>0.36</v>
      </c>
      <c r="O12" s="20">
        <v>0.06</v>
      </c>
      <c r="P12" s="20">
        <v>8.67</v>
      </c>
      <c r="Q12" s="20">
        <v>0.27</v>
      </c>
      <c r="R12" s="20">
        <v>6.98</v>
      </c>
      <c r="S12" s="20">
        <v>0.12</v>
      </c>
      <c r="T12" s="20">
        <v>2.8</v>
      </c>
      <c r="U12" s="20">
        <v>0.93</v>
      </c>
      <c r="V12" s="20">
        <v>0.43</v>
      </c>
      <c r="W12" s="20">
        <v>0.15</v>
      </c>
      <c r="X12" s="20">
        <v>0.8</v>
      </c>
      <c r="Y12" s="20">
        <v>0.26</v>
      </c>
      <c r="Z12" s="20">
        <v>5.26</v>
      </c>
      <c r="AA12" s="20">
        <v>0.17</v>
      </c>
      <c r="AB12" s="20">
        <v>0.69</v>
      </c>
      <c r="AC12" s="20">
        <v>0.04</v>
      </c>
    </row>
    <row r="13" spans="1:33" x14ac:dyDescent="0.25">
      <c r="A13" s="7">
        <v>42</v>
      </c>
      <c r="B13" s="3" t="s">
        <v>4</v>
      </c>
      <c r="C13" s="3" t="s">
        <v>16</v>
      </c>
      <c r="D13" s="20">
        <v>45</v>
      </c>
      <c r="E13" s="20">
        <v>0.43</v>
      </c>
      <c r="F13" s="20">
        <v>0.68</v>
      </c>
      <c r="G13" s="20">
        <v>7.0000000000000007E-2</v>
      </c>
      <c r="H13" s="20">
        <v>10.039999999999999</v>
      </c>
      <c r="I13" s="20">
        <v>0.13</v>
      </c>
      <c r="J13" s="20">
        <v>0.55000000000000004</v>
      </c>
      <c r="K13" s="20">
        <v>0.04</v>
      </c>
      <c r="L13" s="20">
        <v>17.3</v>
      </c>
      <c r="M13" s="20">
        <v>0.12</v>
      </c>
      <c r="N13" s="20">
        <v>0.4</v>
      </c>
      <c r="O13" s="20">
        <v>0.01</v>
      </c>
      <c r="P13" s="20">
        <v>8.39</v>
      </c>
      <c r="Q13" s="20">
        <v>0.12</v>
      </c>
      <c r="R13" s="20">
        <v>7.07</v>
      </c>
      <c r="S13" s="20">
        <v>0.06</v>
      </c>
      <c r="T13" s="20">
        <v>2.94</v>
      </c>
      <c r="U13" s="20">
        <v>0.22</v>
      </c>
      <c r="V13" s="20">
        <v>0.49</v>
      </c>
      <c r="W13" s="20">
        <v>0.06</v>
      </c>
      <c r="X13" s="20">
        <v>0.85</v>
      </c>
      <c r="Y13" s="20">
        <v>0.08</v>
      </c>
      <c r="Z13" s="20">
        <v>5.5</v>
      </c>
      <c r="AA13" s="20">
        <v>0.08</v>
      </c>
      <c r="AB13" s="20">
        <v>0.74</v>
      </c>
      <c r="AC13" s="20">
        <v>0.02</v>
      </c>
    </row>
    <row r="14" spans="1:33" x14ac:dyDescent="0.25">
      <c r="A14" s="7">
        <v>43</v>
      </c>
      <c r="B14" s="3" t="s">
        <v>8</v>
      </c>
      <c r="C14" s="20" t="s">
        <v>17</v>
      </c>
      <c r="D14" s="20">
        <v>46.8</v>
      </c>
      <c r="E14" s="20">
        <v>0.53</v>
      </c>
      <c r="F14" s="20">
        <v>0.91</v>
      </c>
      <c r="G14" s="20">
        <v>0.08</v>
      </c>
      <c r="H14" s="20">
        <v>10.3</v>
      </c>
      <c r="I14" s="20">
        <v>0.17</v>
      </c>
      <c r="J14" s="20">
        <v>0.41</v>
      </c>
      <c r="K14" s="20">
        <v>0.04</v>
      </c>
      <c r="L14" s="20">
        <v>16.5</v>
      </c>
      <c r="M14" s="20">
        <v>0.15</v>
      </c>
      <c r="N14" s="20">
        <v>0.36</v>
      </c>
      <c r="O14" s="20">
        <v>0.02</v>
      </c>
      <c r="P14" s="20">
        <v>8.4499999999999993</v>
      </c>
      <c r="Q14" s="20">
        <v>0.15</v>
      </c>
      <c r="R14" s="20">
        <v>6.52</v>
      </c>
      <c r="S14" s="20">
        <v>7.0000000000000007E-2</v>
      </c>
      <c r="T14" s="20">
        <v>2.88</v>
      </c>
      <c r="U14" s="20">
        <v>0.27</v>
      </c>
      <c r="V14" s="20">
        <v>0.45</v>
      </c>
      <c r="W14" s="20">
        <v>0.06</v>
      </c>
      <c r="X14" s="20">
        <v>0.81</v>
      </c>
      <c r="Y14" s="20">
        <v>0.09</v>
      </c>
      <c r="Z14" s="20">
        <v>5</v>
      </c>
      <c r="AA14" s="20">
        <v>0.1</v>
      </c>
      <c r="AB14" s="20">
        <v>0.6</v>
      </c>
      <c r="AC14" s="20">
        <v>0.02</v>
      </c>
    </row>
    <row r="15" spans="1:33" x14ac:dyDescent="0.25">
      <c r="A15" s="7">
        <v>44</v>
      </c>
      <c r="B15" s="3" t="s">
        <v>9</v>
      </c>
      <c r="C15" s="20" t="s">
        <v>18</v>
      </c>
      <c r="D15" s="20">
        <v>46.3</v>
      </c>
      <c r="E15" s="20">
        <v>0.92</v>
      </c>
      <c r="F15" s="20">
        <v>0.77</v>
      </c>
      <c r="G15" s="20">
        <v>0.23</v>
      </c>
      <c r="H15" s="20">
        <v>10.23</v>
      </c>
      <c r="I15" s="20">
        <v>0.38</v>
      </c>
      <c r="J15" s="20">
        <v>0.26</v>
      </c>
      <c r="K15" s="20">
        <v>7.0000000000000007E-2</v>
      </c>
      <c r="L15" s="20">
        <v>16.2</v>
      </c>
      <c r="M15" s="20">
        <v>0.28999999999999998</v>
      </c>
      <c r="N15" s="20">
        <v>0.28999999999999998</v>
      </c>
      <c r="O15" s="20">
        <v>0.09</v>
      </c>
      <c r="P15" s="20">
        <v>8.69</v>
      </c>
      <c r="Q15" s="20">
        <v>0.37</v>
      </c>
      <c r="R15" s="20">
        <v>6.58</v>
      </c>
      <c r="S15" s="20">
        <v>0.16</v>
      </c>
      <c r="T15" s="20">
        <v>2.54</v>
      </c>
      <c r="U15" s="20">
        <v>1.25</v>
      </c>
      <c r="V15" s="20">
        <v>0.43</v>
      </c>
      <c r="W15" s="20">
        <v>0.17</v>
      </c>
      <c r="X15" s="20">
        <v>0.87</v>
      </c>
      <c r="Y15" s="20">
        <v>0.32</v>
      </c>
      <c r="Z15" s="20">
        <v>6.06</v>
      </c>
      <c r="AA15" s="20">
        <v>0.26</v>
      </c>
      <c r="AB15" s="20">
        <v>0.71</v>
      </c>
      <c r="AC15" s="20">
        <v>0.06</v>
      </c>
    </row>
    <row r="16" spans="1:33" x14ac:dyDescent="0.25">
      <c r="A16" s="7">
        <v>45</v>
      </c>
      <c r="B16" s="3" t="s">
        <v>7</v>
      </c>
      <c r="C16" s="20" t="s">
        <v>19</v>
      </c>
      <c r="D16" s="20">
        <v>45.5</v>
      </c>
      <c r="E16" s="20">
        <v>0.64</v>
      </c>
      <c r="F16" s="20">
        <v>0.68</v>
      </c>
      <c r="G16" s="20">
        <v>0.15</v>
      </c>
      <c r="H16" s="20">
        <v>9.9600000000000009</v>
      </c>
      <c r="I16" s="20">
        <v>0.36</v>
      </c>
      <c r="J16" s="20">
        <v>0.38</v>
      </c>
      <c r="K16" s="20">
        <v>7.0000000000000007E-2</v>
      </c>
      <c r="L16" s="20">
        <v>16.5</v>
      </c>
      <c r="M16" s="20">
        <v>0.18</v>
      </c>
      <c r="N16" s="20">
        <v>0.3</v>
      </c>
      <c r="O16" s="20">
        <v>7.0000000000000007E-2</v>
      </c>
      <c r="P16" s="20">
        <v>8.59</v>
      </c>
      <c r="Q16" s="20">
        <v>0.47</v>
      </c>
      <c r="R16" s="20">
        <v>6.69</v>
      </c>
      <c r="S16" s="20">
        <v>0.14000000000000001</v>
      </c>
      <c r="T16" s="20">
        <v>3.09</v>
      </c>
      <c r="U16" s="20">
        <v>1.79</v>
      </c>
      <c r="V16" s="20">
        <v>0.48</v>
      </c>
      <c r="W16" s="20">
        <v>0.16</v>
      </c>
      <c r="X16" s="20">
        <v>0.78</v>
      </c>
      <c r="Y16" s="20">
        <v>0.28000000000000003</v>
      </c>
      <c r="Z16" s="20">
        <v>6.19</v>
      </c>
      <c r="AA16" s="20">
        <v>0.21</v>
      </c>
      <c r="AB16" s="20">
        <v>0.78</v>
      </c>
      <c r="AC16" s="20">
        <v>0.05</v>
      </c>
    </row>
    <row r="17" spans="1:29" x14ac:dyDescent="0.25">
      <c r="A17" s="7">
        <v>47</v>
      </c>
      <c r="B17" s="3" t="s">
        <v>3</v>
      </c>
      <c r="C17" s="20" t="s">
        <v>20</v>
      </c>
      <c r="D17" s="20">
        <v>46</v>
      </c>
      <c r="E17" s="20">
        <v>0.33</v>
      </c>
      <c r="F17" s="20">
        <v>0.89</v>
      </c>
      <c r="G17" s="20">
        <v>7.0000000000000007E-2</v>
      </c>
      <c r="H17" s="20">
        <v>10.050000000000001</v>
      </c>
      <c r="I17" s="20">
        <v>0.11</v>
      </c>
      <c r="J17" s="20">
        <v>0.33</v>
      </c>
      <c r="K17" s="20">
        <v>0.03</v>
      </c>
      <c r="L17" s="20">
        <v>16.100000000000001</v>
      </c>
      <c r="M17" s="20">
        <v>0.08</v>
      </c>
      <c r="N17" s="20">
        <v>0.34</v>
      </c>
      <c r="O17" s="20">
        <v>0.01</v>
      </c>
      <c r="P17" s="20">
        <v>8.41</v>
      </c>
      <c r="Q17" s="20">
        <v>0.11</v>
      </c>
      <c r="R17" s="20">
        <v>6.32</v>
      </c>
      <c r="S17" s="20">
        <v>0.05</v>
      </c>
      <c r="T17" s="20">
        <v>3.13</v>
      </c>
      <c r="U17" s="20">
        <v>0.21</v>
      </c>
      <c r="V17" s="20">
        <v>0.44</v>
      </c>
      <c r="W17" s="20">
        <v>0.06</v>
      </c>
      <c r="X17" s="20">
        <v>0.86</v>
      </c>
      <c r="Y17" s="20">
        <v>0.08</v>
      </c>
      <c r="Z17" s="20">
        <v>6.33</v>
      </c>
      <c r="AA17" s="20">
        <v>0.09</v>
      </c>
      <c r="AB17" s="20">
        <v>0.73</v>
      </c>
      <c r="AC17" s="20">
        <v>0.02</v>
      </c>
    </row>
    <row r="18" spans="1:29" x14ac:dyDescent="0.25">
      <c r="A18" s="7">
        <v>49</v>
      </c>
      <c r="B18" s="3" t="s">
        <v>10</v>
      </c>
      <c r="C18" s="20" t="s">
        <v>118</v>
      </c>
      <c r="D18" s="20">
        <v>46.2</v>
      </c>
      <c r="E18" s="20">
        <v>0.47</v>
      </c>
      <c r="F18" s="20">
        <v>1</v>
      </c>
      <c r="G18" s="20">
        <v>0.08</v>
      </c>
      <c r="H18" s="20">
        <v>9.83</v>
      </c>
      <c r="I18" s="20">
        <v>0.14000000000000001</v>
      </c>
      <c r="J18" s="20">
        <v>0.43</v>
      </c>
      <c r="K18" s="20">
        <v>0.04</v>
      </c>
      <c r="L18" s="20">
        <v>16.8</v>
      </c>
      <c r="M18" s="20">
        <v>0.12</v>
      </c>
      <c r="N18" s="20">
        <v>0.34</v>
      </c>
      <c r="O18" s="20">
        <v>0.01</v>
      </c>
      <c r="P18" s="20">
        <v>8.9</v>
      </c>
      <c r="Q18" s="20">
        <v>0.13</v>
      </c>
      <c r="R18" s="20">
        <v>6.14</v>
      </c>
      <c r="S18" s="20">
        <v>0.06</v>
      </c>
      <c r="T18" s="20">
        <v>2.44</v>
      </c>
      <c r="U18" s="20">
        <v>0.25</v>
      </c>
      <c r="V18" s="20">
        <v>0.38</v>
      </c>
      <c r="W18" s="20">
        <v>0.06</v>
      </c>
      <c r="X18" s="20">
        <v>0.68</v>
      </c>
      <c r="Y18" s="20">
        <v>0.08</v>
      </c>
      <c r="Z18" s="20">
        <v>6.11</v>
      </c>
      <c r="AA18" s="20">
        <v>0.09</v>
      </c>
      <c r="AB18" s="20">
        <v>0.69</v>
      </c>
      <c r="AC18" s="20">
        <v>0.02</v>
      </c>
    </row>
    <row r="19" spans="1:29" x14ac:dyDescent="0.25">
      <c r="A19" s="7">
        <v>50</v>
      </c>
      <c r="B19" s="3" t="s">
        <v>10</v>
      </c>
      <c r="C19" s="20" t="s">
        <v>21</v>
      </c>
      <c r="D19" s="20">
        <v>46.1</v>
      </c>
      <c r="E19" s="20">
        <v>0.47</v>
      </c>
      <c r="F19" s="20">
        <v>1.02</v>
      </c>
      <c r="G19" s="20">
        <v>7.0000000000000007E-2</v>
      </c>
      <c r="H19" s="20">
        <v>9.9600000000000009</v>
      </c>
      <c r="I19" s="20">
        <v>0.16</v>
      </c>
      <c r="J19" s="20">
        <v>0.4</v>
      </c>
      <c r="K19" s="20">
        <v>0.04</v>
      </c>
      <c r="L19" s="20">
        <v>16.8</v>
      </c>
      <c r="M19" s="20">
        <v>0.12</v>
      </c>
      <c r="N19" s="20">
        <v>0.35</v>
      </c>
      <c r="O19" s="20">
        <v>0.01</v>
      </c>
      <c r="P19" s="20">
        <v>8.77</v>
      </c>
      <c r="Q19" s="20">
        <v>0.13</v>
      </c>
      <c r="R19" s="20">
        <v>6.24</v>
      </c>
      <c r="S19" s="20">
        <v>0.05</v>
      </c>
      <c r="T19" s="20">
        <v>2.65</v>
      </c>
      <c r="U19" s="20">
        <v>0.24</v>
      </c>
      <c r="V19" s="20">
        <v>0.37</v>
      </c>
      <c r="W19" s="20">
        <v>0.06</v>
      </c>
      <c r="X19" s="20">
        <v>0.73</v>
      </c>
      <c r="Y19" s="20">
        <v>0.08</v>
      </c>
      <c r="Z19" s="20">
        <v>5.69</v>
      </c>
      <c r="AA19" s="20">
        <v>0.08</v>
      </c>
      <c r="AB19" s="20">
        <v>0.77</v>
      </c>
      <c r="AC19" s="20">
        <v>0.02</v>
      </c>
    </row>
    <row r="20" spans="1:29" x14ac:dyDescent="0.25">
      <c r="A20" s="7">
        <v>52</v>
      </c>
      <c r="B20" s="3" t="s">
        <v>3</v>
      </c>
      <c r="C20" s="20" t="s">
        <v>22</v>
      </c>
      <c r="D20" s="20">
        <v>45.6</v>
      </c>
      <c r="E20" s="20">
        <v>0.77</v>
      </c>
      <c r="F20" s="20">
        <v>0.81</v>
      </c>
      <c r="G20" s="20">
        <v>0.18</v>
      </c>
      <c r="H20" s="20">
        <v>9.67</v>
      </c>
      <c r="I20" s="20">
        <v>0.28999999999999998</v>
      </c>
      <c r="J20" s="20">
        <v>0.37</v>
      </c>
      <c r="K20" s="20">
        <v>0.06</v>
      </c>
      <c r="L20" s="20">
        <v>16.7</v>
      </c>
      <c r="M20" s="20">
        <v>0.24</v>
      </c>
      <c r="N20" s="20">
        <v>0.34</v>
      </c>
      <c r="O20" s="20">
        <v>7.0000000000000007E-2</v>
      </c>
      <c r="P20" s="20">
        <v>8.4700000000000006</v>
      </c>
      <c r="Q20" s="20">
        <v>0.28000000000000003</v>
      </c>
      <c r="R20" s="20">
        <v>6.6</v>
      </c>
      <c r="S20" s="20">
        <v>0.13</v>
      </c>
      <c r="T20" s="20">
        <v>3.18</v>
      </c>
      <c r="U20" s="20">
        <v>0.96</v>
      </c>
      <c r="V20" s="20">
        <v>0.41</v>
      </c>
      <c r="W20" s="20">
        <v>0.15</v>
      </c>
      <c r="X20" s="20">
        <v>0.83</v>
      </c>
      <c r="Y20" s="20">
        <v>0.26</v>
      </c>
      <c r="Z20" s="20">
        <v>6.1</v>
      </c>
      <c r="AA20" s="20">
        <v>0.21</v>
      </c>
      <c r="AB20" s="20">
        <v>0.8</v>
      </c>
      <c r="AC20" s="20">
        <v>0.05</v>
      </c>
    </row>
    <row r="21" spans="1:29" x14ac:dyDescent="0.25">
      <c r="A21" s="7">
        <v>55</v>
      </c>
      <c r="B21" s="3" t="s">
        <v>4</v>
      </c>
      <c r="C21" s="3" t="s">
        <v>23</v>
      </c>
      <c r="D21" s="20">
        <v>45.9</v>
      </c>
      <c r="E21" s="20">
        <v>0.64</v>
      </c>
      <c r="F21" s="20">
        <v>0.48</v>
      </c>
      <c r="G21" s="20">
        <v>0.12</v>
      </c>
      <c r="H21" s="20">
        <v>10.66</v>
      </c>
      <c r="I21" s="20">
        <v>0.23</v>
      </c>
      <c r="J21" s="20">
        <v>0.56999999999999995</v>
      </c>
      <c r="K21" s="20">
        <v>0.06</v>
      </c>
      <c r="L21" s="20">
        <v>17.7</v>
      </c>
      <c r="M21" s="20">
        <v>0.19</v>
      </c>
      <c r="N21" s="20">
        <v>0.4</v>
      </c>
      <c r="O21" s="20">
        <v>0.06</v>
      </c>
      <c r="P21" s="20">
        <v>8.76</v>
      </c>
      <c r="Q21" s="20">
        <v>0.23</v>
      </c>
      <c r="R21" s="20">
        <v>7.53</v>
      </c>
      <c r="S21" s="20">
        <v>0.12</v>
      </c>
      <c r="T21" s="20">
        <v>3</v>
      </c>
      <c r="U21" s="20">
        <v>0.86</v>
      </c>
      <c r="V21" s="20">
        <v>0.19</v>
      </c>
      <c r="W21" s="20">
        <v>0.13</v>
      </c>
      <c r="X21" s="20">
        <v>0.65</v>
      </c>
      <c r="Y21" s="20">
        <v>0.22</v>
      </c>
      <c r="Z21" s="20">
        <v>3.53</v>
      </c>
      <c r="AA21" s="20">
        <v>0.13</v>
      </c>
      <c r="AB21" s="20">
        <v>0.57999999999999996</v>
      </c>
      <c r="AC21" s="20">
        <v>0.04</v>
      </c>
    </row>
    <row r="22" spans="1:29" x14ac:dyDescent="0.25">
      <c r="A22" s="7">
        <v>57</v>
      </c>
      <c r="B22" s="3" t="s">
        <v>4</v>
      </c>
      <c r="C22" s="3" t="s">
        <v>24</v>
      </c>
      <c r="D22" s="20">
        <v>45.7</v>
      </c>
      <c r="E22" s="20">
        <v>0.63</v>
      </c>
      <c r="F22" s="20">
        <v>0.53</v>
      </c>
      <c r="G22" s="20">
        <v>0.11</v>
      </c>
      <c r="H22" s="20">
        <v>11.13</v>
      </c>
      <c r="I22" s="20">
        <v>0.27</v>
      </c>
      <c r="J22" s="20">
        <v>0.61</v>
      </c>
      <c r="K22" s="20">
        <v>0.06</v>
      </c>
      <c r="L22" s="20">
        <v>17.899999999999999</v>
      </c>
      <c r="M22" s="20">
        <v>0.2</v>
      </c>
      <c r="N22" s="20">
        <v>0.39</v>
      </c>
      <c r="O22" s="20">
        <v>0.05</v>
      </c>
      <c r="P22" s="20">
        <v>8.69</v>
      </c>
      <c r="Q22" s="20">
        <v>0.33</v>
      </c>
      <c r="R22" s="20">
        <v>7.54</v>
      </c>
      <c r="S22" s="20">
        <v>0.11</v>
      </c>
      <c r="T22" s="20">
        <v>2.92</v>
      </c>
      <c r="U22" s="20">
        <v>1.23</v>
      </c>
      <c r="V22" s="20">
        <v>0.19</v>
      </c>
      <c r="W22" s="20">
        <v>0.12</v>
      </c>
      <c r="X22" s="20">
        <v>0.63</v>
      </c>
      <c r="Y22" s="20">
        <v>0.21</v>
      </c>
      <c r="Z22" s="20">
        <v>3.24</v>
      </c>
      <c r="AA22" s="20">
        <v>0.11</v>
      </c>
      <c r="AB22" s="20">
        <v>0.54</v>
      </c>
      <c r="AC22" s="20">
        <v>0.03</v>
      </c>
    </row>
    <row r="23" spans="1:29" x14ac:dyDescent="0.25">
      <c r="A23" s="7">
        <v>58</v>
      </c>
      <c r="B23" s="3" t="s">
        <v>5</v>
      </c>
      <c r="C23" s="3" t="s">
        <v>25</v>
      </c>
      <c r="D23" s="20">
        <v>45.9</v>
      </c>
      <c r="E23" s="20">
        <v>0.43</v>
      </c>
      <c r="F23" s="20">
        <v>0.54</v>
      </c>
      <c r="G23" s="20">
        <v>0.06</v>
      </c>
      <c r="H23" s="20">
        <v>11.2</v>
      </c>
      <c r="I23" s="20">
        <v>0.14000000000000001</v>
      </c>
      <c r="J23" s="20">
        <v>0.6</v>
      </c>
      <c r="K23" s="20">
        <v>0.04</v>
      </c>
      <c r="L23" s="20">
        <v>17.899999999999999</v>
      </c>
      <c r="M23" s="20">
        <v>0.12</v>
      </c>
      <c r="N23" s="20">
        <v>0.39</v>
      </c>
      <c r="O23" s="20">
        <v>0.01</v>
      </c>
      <c r="P23" s="20">
        <v>8.82</v>
      </c>
      <c r="Q23" s="20">
        <v>0.12</v>
      </c>
      <c r="R23" s="20">
        <v>7.76</v>
      </c>
      <c r="S23" s="20">
        <v>0.06</v>
      </c>
      <c r="T23" s="20">
        <v>2.95</v>
      </c>
      <c r="U23" s="20">
        <v>0.21</v>
      </c>
      <c r="V23" s="20">
        <v>0.18</v>
      </c>
      <c r="W23" s="20">
        <v>0.06</v>
      </c>
      <c r="X23" s="20">
        <v>0.62</v>
      </c>
      <c r="Y23" s="20">
        <v>7.0000000000000007E-2</v>
      </c>
      <c r="Z23" s="20">
        <v>2.63</v>
      </c>
      <c r="AA23" s="20">
        <v>0.05</v>
      </c>
      <c r="AB23" s="20">
        <v>0.49</v>
      </c>
      <c r="AC23" s="20">
        <v>0.01</v>
      </c>
    </row>
    <row r="24" spans="1:29" x14ac:dyDescent="0.25">
      <c r="A24" s="7">
        <v>59</v>
      </c>
      <c r="B24" s="3" t="s">
        <v>93</v>
      </c>
      <c r="C24" s="3" t="s">
        <v>26</v>
      </c>
      <c r="D24" s="20">
        <v>46.3</v>
      </c>
      <c r="E24" s="20">
        <v>0.42</v>
      </c>
      <c r="F24" s="20">
        <v>0.57999999999999996</v>
      </c>
      <c r="G24" s="20">
        <v>0.06</v>
      </c>
      <c r="H24" s="20">
        <v>10.78</v>
      </c>
      <c r="I24" s="20">
        <v>0.15</v>
      </c>
      <c r="J24" s="20">
        <v>0.68</v>
      </c>
      <c r="K24" s="20">
        <v>0.03</v>
      </c>
      <c r="L24" s="20">
        <v>18.600000000000001</v>
      </c>
      <c r="M24" s="20">
        <v>0.12</v>
      </c>
      <c r="N24" s="20">
        <v>0.41</v>
      </c>
      <c r="O24" s="20">
        <v>0.01</v>
      </c>
      <c r="P24" s="20">
        <v>9.49</v>
      </c>
      <c r="Q24" s="20">
        <v>0.12</v>
      </c>
      <c r="R24" s="20">
        <v>8.19</v>
      </c>
      <c r="S24" s="20">
        <v>0.06</v>
      </c>
      <c r="T24" s="20">
        <v>2.76</v>
      </c>
      <c r="U24" s="20">
        <v>0.21</v>
      </c>
      <c r="V24" s="20">
        <v>0.13</v>
      </c>
      <c r="W24" s="20">
        <v>0.05</v>
      </c>
      <c r="X24" s="20">
        <v>0.56999999999999995</v>
      </c>
      <c r="Y24" s="20">
        <v>7.0000000000000007E-2</v>
      </c>
      <c r="Z24" s="20">
        <v>1.0900000000000001</v>
      </c>
      <c r="AA24" s="20">
        <v>0.03</v>
      </c>
      <c r="AB24" s="20">
        <v>0.32</v>
      </c>
      <c r="AC24" s="20">
        <v>0.01</v>
      </c>
    </row>
    <row r="25" spans="1:29" x14ac:dyDescent="0.25">
      <c r="A25" s="7">
        <v>60</v>
      </c>
      <c r="B25" s="3" t="s">
        <v>94</v>
      </c>
      <c r="C25" s="3" t="s">
        <v>27</v>
      </c>
      <c r="D25" s="20">
        <v>45.9</v>
      </c>
      <c r="E25" s="20">
        <v>0.43</v>
      </c>
      <c r="F25" s="20">
        <v>0.55000000000000004</v>
      </c>
      <c r="G25" s="20">
        <v>0.06</v>
      </c>
      <c r="H25" s="20">
        <v>10.68</v>
      </c>
      <c r="I25" s="20">
        <v>0.13</v>
      </c>
      <c r="J25" s="20">
        <v>0.6</v>
      </c>
      <c r="K25" s="20">
        <v>0.03</v>
      </c>
      <c r="L25" s="20">
        <v>18.8</v>
      </c>
      <c r="M25" s="20">
        <v>0.12</v>
      </c>
      <c r="N25" s="20">
        <v>0.41</v>
      </c>
      <c r="O25" s="20">
        <v>0.01</v>
      </c>
      <c r="P25" s="20">
        <v>10.41</v>
      </c>
      <c r="Q25" s="20">
        <v>0.14000000000000001</v>
      </c>
      <c r="R25" s="20">
        <v>7.84</v>
      </c>
      <c r="S25" s="20">
        <v>0.05</v>
      </c>
      <c r="T25" s="20">
        <v>2.54</v>
      </c>
      <c r="U25" s="20">
        <v>0.28000000000000003</v>
      </c>
      <c r="V25" s="20">
        <v>0.1</v>
      </c>
      <c r="W25" s="20">
        <v>0.05</v>
      </c>
      <c r="X25" s="20">
        <v>0.56000000000000005</v>
      </c>
      <c r="Y25" s="20">
        <v>7.0000000000000007E-2</v>
      </c>
      <c r="Z25" s="20">
        <v>1.28</v>
      </c>
      <c r="AA25" s="20">
        <v>0.03</v>
      </c>
      <c r="AB25" s="20">
        <v>0.26</v>
      </c>
      <c r="AC25" s="20">
        <v>0.01</v>
      </c>
    </row>
    <row r="26" spans="1:29" x14ac:dyDescent="0.25">
      <c r="A26" s="7">
        <v>63</v>
      </c>
      <c r="B26" s="3" t="s">
        <v>4</v>
      </c>
      <c r="C26" s="3" t="s">
        <v>28</v>
      </c>
      <c r="D26" s="20">
        <v>44</v>
      </c>
      <c r="E26" s="20">
        <v>0.69</v>
      </c>
      <c r="F26" s="20">
        <v>0.56999999999999995</v>
      </c>
      <c r="G26" s="20">
        <v>0.13</v>
      </c>
      <c r="H26" s="20">
        <v>9.7200000000000006</v>
      </c>
      <c r="I26" s="20">
        <v>0.26</v>
      </c>
      <c r="J26" s="20">
        <v>0.56999999999999995</v>
      </c>
      <c r="K26" s="20">
        <v>0.06</v>
      </c>
      <c r="L26" s="20">
        <v>18.899999999999999</v>
      </c>
      <c r="M26" s="20">
        <v>0.24</v>
      </c>
      <c r="N26" s="20">
        <v>0.42</v>
      </c>
      <c r="O26" s="20">
        <v>7.0000000000000007E-2</v>
      </c>
      <c r="P26" s="20">
        <v>8.27</v>
      </c>
      <c r="Q26" s="20">
        <v>0.24</v>
      </c>
      <c r="R26" s="20">
        <v>6.81</v>
      </c>
      <c r="S26" s="20">
        <v>0.12</v>
      </c>
      <c r="T26" s="20">
        <v>3.04</v>
      </c>
      <c r="U26" s="20">
        <v>0.79</v>
      </c>
      <c r="V26" s="20">
        <v>0.33</v>
      </c>
      <c r="W26" s="20">
        <v>0.14000000000000001</v>
      </c>
      <c r="X26" s="20">
        <v>0.75</v>
      </c>
      <c r="Y26" s="20">
        <v>0.23</v>
      </c>
      <c r="Z26" s="20">
        <v>5.85</v>
      </c>
      <c r="AA26" s="20">
        <v>0.18</v>
      </c>
      <c r="AB26" s="20">
        <v>0.72</v>
      </c>
      <c r="AC26" s="20">
        <v>0.04</v>
      </c>
    </row>
    <row r="27" spans="1:29" x14ac:dyDescent="0.25">
      <c r="A27" s="7">
        <v>65</v>
      </c>
      <c r="B27" s="3" t="s">
        <v>3</v>
      </c>
      <c r="C27" s="20" t="s">
        <v>29</v>
      </c>
      <c r="D27" s="20">
        <v>45.9</v>
      </c>
      <c r="E27" s="20">
        <v>0.75</v>
      </c>
      <c r="F27" s="20">
        <v>0.83</v>
      </c>
      <c r="G27" s="20">
        <v>0.16</v>
      </c>
      <c r="H27" s="20">
        <v>9.86</v>
      </c>
      <c r="I27" s="20">
        <v>0.28000000000000003</v>
      </c>
      <c r="J27" s="20">
        <v>0.31</v>
      </c>
      <c r="K27" s="20">
        <v>0.06</v>
      </c>
      <c r="L27" s="20">
        <v>15.9</v>
      </c>
      <c r="M27" s="20">
        <v>0.24</v>
      </c>
      <c r="N27" s="20">
        <v>0.31</v>
      </c>
      <c r="O27" s="20">
        <v>7.0000000000000007E-2</v>
      </c>
      <c r="P27" s="20">
        <v>8.57</v>
      </c>
      <c r="Q27" s="20">
        <v>0.3</v>
      </c>
      <c r="R27" s="20">
        <v>6.04</v>
      </c>
      <c r="S27" s="20">
        <v>0.13</v>
      </c>
      <c r="T27" s="20">
        <v>3.2</v>
      </c>
      <c r="U27" s="20">
        <v>1.03</v>
      </c>
      <c r="V27" s="20">
        <v>0.47</v>
      </c>
      <c r="W27" s="20">
        <v>0.16</v>
      </c>
      <c r="X27" s="20">
        <v>0.81</v>
      </c>
      <c r="Y27" s="20">
        <v>0.26</v>
      </c>
      <c r="Z27" s="20">
        <v>6.76</v>
      </c>
      <c r="AA27" s="20">
        <v>0.23</v>
      </c>
      <c r="AB27" s="20">
        <v>0.84</v>
      </c>
      <c r="AC27" s="20">
        <v>0.05</v>
      </c>
    </row>
    <row r="28" spans="1:29" x14ac:dyDescent="0.25">
      <c r="A28" s="7">
        <v>71</v>
      </c>
      <c r="B28" s="3" t="s">
        <v>3</v>
      </c>
      <c r="C28" s="20" t="s">
        <v>30</v>
      </c>
      <c r="D28" s="20">
        <v>45</v>
      </c>
      <c r="E28" s="20">
        <v>0.52</v>
      </c>
      <c r="F28" s="20">
        <v>0.89</v>
      </c>
      <c r="G28" s="20">
        <v>0.08</v>
      </c>
      <c r="H28" s="20">
        <v>9.56</v>
      </c>
      <c r="I28" s="20">
        <v>0.16</v>
      </c>
      <c r="J28" s="20">
        <v>0.31</v>
      </c>
      <c r="K28" s="20">
        <v>0.04</v>
      </c>
      <c r="L28" s="20">
        <v>16.5</v>
      </c>
      <c r="M28" s="20">
        <v>0.15</v>
      </c>
      <c r="N28" s="20">
        <v>0.31</v>
      </c>
      <c r="O28" s="20">
        <v>0.02</v>
      </c>
      <c r="P28" s="20">
        <v>8.25</v>
      </c>
      <c r="Q28" s="20">
        <v>0.15</v>
      </c>
      <c r="R28" s="20">
        <v>6.17</v>
      </c>
      <c r="S28" s="20">
        <v>7.0000000000000007E-2</v>
      </c>
      <c r="T28" s="20">
        <v>2.91</v>
      </c>
      <c r="U28" s="20">
        <v>0.28999999999999998</v>
      </c>
      <c r="V28" s="20">
        <v>0.49</v>
      </c>
      <c r="W28" s="20">
        <v>7.0000000000000007E-2</v>
      </c>
      <c r="X28" s="20">
        <v>0.91</v>
      </c>
      <c r="Y28" s="20">
        <v>0.09</v>
      </c>
      <c r="Z28" s="20">
        <v>7.61</v>
      </c>
      <c r="AA28" s="20">
        <v>0.13</v>
      </c>
      <c r="AB28" s="20">
        <v>0.88</v>
      </c>
      <c r="AC28" s="20">
        <v>0.03</v>
      </c>
    </row>
    <row r="29" spans="1:29" x14ac:dyDescent="0.25">
      <c r="A29" s="7">
        <v>74</v>
      </c>
      <c r="B29" s="3" t="s">
        <v>3</v>
      </c>
      <c r="C29" s="20" t="s">
        <v>32</v>
      </c>
      <c r="D29" s="20">
        <v>46</v>
      </c>
      <c r="E29" s="20">
        <v>0.47</v>
      </c>
      <c r="F29" s="20">
        <v>0.88</v>
      </c>
      <c r="G29" s="20">
        <v>0.14000000000000001</v>
      </c>
      <c r="H29" s="20">
        <v>9.5399999999999991</v>
      </c>
      <c r="I29" s="20">
        <v>0.31</v>
      </c>
      <c r="J29" s="20">
        <v>0.44</v>
      </c>
      <c r="K29" s="20">
        <v>0.06</v>
      </c>
      <c r="L29" s="20">
        <v>16.899999999999999</v>
      </c>
      <c r="M29" s="20">
        <v>0.15</v>
      </c>
      <c r="N29" s="20">
        <v>0.31</v>
      </c>
      <c r="O29" s="20">
        <v>7.0000000000000007E-2</v>
      </c>
      <c r="P29" s="20">
        <v>9.06</v>
      </c>
      <c r="Q29" s="20">
        <v>0.24</v>
      </c>
      <c r="R29" s="20">
        <v>6.57</v>
      </c>
      <c r="S29" s="20">
        <v>0.11</v>
      </c>
      <c r="T29" s="20">
        <v>2.23</v>
      </c>
      <c r="U29" s="20">
        <v>1.07</v>
      </c>
      <c r="V29" s="20">
        <v>0.4</v>
      </c>
      <c r="W29" s="20">
        <v>0.15</v>
      </c>
      <c r="X29" s="20">
        <v>0.15</v>
      </c>
      <c r="Y29" s="20">
        <v>0.34</v>
      </c>
      <c r="Z29" s="20">
        <v>6.56</v>
      </c>
      <c r="AA29" s="20">
        <v>0.17</v>
      </c>
      <c r="AB29" s="20">
        <v>0.85</v>
      </c>
      <c r="AC29" s="20">
        <v>0.05</v>
      </c>
    </row>
    <row r="30" spans="1:29" x14ac:dyDescent="0.25">
      <c r="A30" s="7">
        <v>75</v>
      </c>
      <c r="B30" s="3" t="s">
        <v>8</v>
      </c>
      <c r="C30" s="20" t="s">
        <v>31</v>
      </c>
      <c r="D30" s="20">
        <v>46.7</v>
      </c>
      <c r="E30" s="20">
        <v>0.48</v>
      </c>
      <c r="F30" s="20">
        <v>0.94</v>
      </c>
      <c r="G30" s="20">
        <v>7.0000000000000007E-2</v>
      </c>
      <c r="H30" s="20">
        <v>10.119999999999999</v>
      </c>
      <c r="I30" s="20">
        <v>0.15</v>
      </c>
      <c r="J30" s="20">
        <v>0.46</v>
      </c>
      <c r="K30" s="20">
        <v>0.04</v>
      </c>
      <c r="L30" s="20">
        <v>17</v>
      </c>
      <c r="M30" s="20">
        <v>0.13</v>
      </c>
      <c r="N30" s="20">
        <v>0.36</v>
      </c>
      <c r="O30" s="20">
        <v>0.01</v>
      </c>
      <c r="P30" s="20">
        <v>8.86</v>
      </c>
      <c r="Q30" s="20">
        <v>0.14000000000000001</v>
      </c>
      <c r="R30" s="20">
        <v>6.57</v>
      </c>
      <c r="S30" s="20">
        <v>0.06</v>
      </c>
      <c r="T30" s="20">
        <v>2.89</v>
      </c>
      <c r="U30" s="20">
        <v>0.25</v>
      </c>
      <c r="V30" s="20">
        <v>0.4</v>
      </c>
      <c r="W30" s="20">
        <v>0.06</v>
      </c>
      <c r="X30" s="20">
        <v>0.66</v>
      </c>
      <c r="Y30" s="20">
        <v>0.08</v>
      </c>
      <c r="Z30" s="20">
        <v>4.3899999999999997</v>
      </c>
      <c r="AA30" s="20">
        <v>0.08</v>
      </c>
      <c r="AB30" s="20">
        <v>0.54</v>
      </c>
      <c r="AC30" s="20">
        <v>0.02</v>
      </c>
    </row>
    <row r="31" spans="1:29" x14ac:dyDescent="0.25">
      <c r="A31" s="7">
        <v>81</v>
      </c>
      <c r="B31" s="3" t="s">
        <v>5</v>
      </c>
      <c r="C31" s="3" t="s">
        <v>33</v>
      </c>
      <c r="D31" s="20">
        <v>44.5</v>
      </c>
      <c r="E31" s="20">
        <v>0.5</v>
      </c>
      <c r="F31" s="20">
        <v>0.84</v>
      </c>
      <c r="G31" s="20">
        <v>0.08</v>
      </c>
      <c r="H31" s="20">
        <v>8.5</v>
      </c>
      <c r="I31" s="20">
        <v>0.16</v>
      </c>
      <c r="J31" s="20">
        <v>0.26</v>
      </c>
      <c r="K31" s="20">
        <v>0.04</v>
      </c>
      <c r="L31" s="20">
        <v>17.899999999999999</v>
      </c>
      <c r="M31" s="20">
        <v>0.15</v>
      </c>
      <c r="N31" s="20">
        <v>0.32</v>
      </c>
      <c r="O31" s="20">
        <v>0.02</v>
      </c>
      <c r="P31" s="20">
        <v>7.7</v>
      </c>
      <c r="Q31" s="20">
        <v>0.14000000000000001</v>
      </c>
      <c r="R31" s="20">
        <v>6.63</v>
      </c>
      <c r="S31" s="20">
        <v>7.0000000000000007E-2</v>
      </c>
      <c r="T31" s="20">
        <v>2.54</v>
      </c>
      <c r="U31" s="20">
        <v>0.25</v>
      </c>
      <c r="V31" s="20">
        <v>0.54</v>
      </c>
      <c r="W31" s="20">
        <v>0.06</v>
      </c>
      <c r="X31" s="20">
        <v>1.19</v>
      </c>
      <c r="Y31" s="20">
        <v>0.09</v>
      </c>
      <c r="Z31" s="20">
        <v>7.62</v>
      </c>
      <c r="AA31" s="20">
        <v>0.12</v>
      </c>
      <c r="AB31" s="20">
        <v>1.28</v>
      </c>
      <c r="AC31" s="20">
        <v>0.03</v>
      </c>
    </row>
    <row r="32" spans="1:29" x14ac:dyDescent="0.25">
      <c r="A32" s="7">
        <v>81</v>
      </c>
      <c r="B32" s="3" t="s">
        <v>4</v>
      </c>
      <c r="C32" s="3" t="s">
        <v>119</v>
      </c>
      <c r="D32" s="20">
        <v>43.7</v>
      </c>
      <c r="E32" s="20">
        <v>0.45</v>
      </c>
      <c r="F32" s="20">
        <v>0.81</v>
      </c>
      <c r="G32" s="20">
        <v>7.0000000000000007E-2</v>
      </c>
      <c r="H32" s="20">
        <v>9.15</v>
      </c>
      <c r="I32" s="20">
        <v>0.13</v>
      </c>
      <c r="J32" s="20">
        <v>0.35</v>
      </c>
      <c r="K32" s="20">
        <v>0.04</v>
      </c>
      <c r="L32" s="20">
        <v>18</v>
      </c>
      <c r="M32" s="20">
        <v>0.14000000000000001</v>
      </c>
      <c r="N32" s="20">
        <v>0.33</v>
      </c>
      <c r="O32" s="20">
        <v>0.01</v>
      </c>
      <c r="P32" s="20">
        <v>8.23</v>
      </c>
      <c r="Q32" s="20">
        <v>0.13</v>
      </c>
      <c r="R32" s="20">
        <v>6.23</v>
      </c>
      <c r="S32" s="20">
        <v>0.06</v>
      </c>
      <c r="T32" s="20">
        <v>3.1</v>
      </c>
      <c r="U32" s="20">
        <v>0.24</v>
      </c>
      <c r="V32" s="20">
        <v>0.45</v>
      </c>
      <c r="W32" s="20">
        <v>0.06</v>
      </c>
      <c r="X32" s="20">
        <v>0.97</v>
      </c>
      <c r="Y32" s="20">
        <v>0.08</v>
      </c>
      <c r="Z32" s="20">
        <v>7.62</v>
      </c>
      <c r="AA32" s="20">
        <v>0.11</v>
      </c>
      <c r="AB32" s="20">
        <v>0.99</v>
      </c>
      <c r="AC32" s="20">
        <v>0.02</v>
      </c>
    </row>
    <row r="33" spans="1:29" x14ac:dyDescent="0.25">
      <c r="A33" s="7">
        <v>82</v>
      </c>
      <c r="B33" s="3" t="s">
        <v>4</v>
      </c>
      <c r="C33" s="3" t="s">
        <v>120</v>
      </c>
      <c r="D33" s="20">
        <v>45.7</v>
      </c>
      <c r="E33" s="20">
        <v>0.43</v>
      </c>
      <c r="F33" s="20">
        <v>0.69</v>
      </c>
      <c r="G33" s="20">
        <v>7.0000000000000007E-2</v>
      </c>
      <c r="H33" s="20">
        <v>9.92</v>
      </c>
      <c r="I33" s="20">
        <v>0.13</v>
      </c>
      <c r="J33" s="20">
        <v>0.45</v>
      </c>
      <c r="K33" s="20">
        <v>0.03</v>
      </c>
      <c r="L33" s="20">
        <v>18.399999999999999</v>
      </c>
      <c r="M33" s="20">
        <v>0.12</v>
      </c>
      <c r="N33" s="20">
        <v>0.4</v>
      </c>
      <c r="O33" s="20">
        <v>0.01</v>
      </c>
      <c r="P33" s="20">
        <v>9.02</v>
      </c>
      <c r="Q33" s="20">
        <v>0.12</v>
      </c>
      <c r="R33" s="20">
        <v>7.57</v>
      </c>
      <c r="S33" s="20">
        <v>0.06</v>
      </c>
      <c r="T33" s="20">
        <v>2.74</v>
      </c>
      <c r="U33" s="20">
        <v>0.21</v>
      </c>
      <c r="V33" s="20">
        <v>0.28999999999999998</v>
      </c>
      <c r="W33" s="20">
        <v>0.06</v>
      </c>
      <c r="X33" s="20">
        <v>0.82</v>
      </c>
      <c r="Y33" s="20">
        <v>7.0000000000000007E-2</v>
      </c>
      <c r="Z33" s="20">
        <v>3.33</v>
      </c>
      <c r="AA33" s="20">
        <v>0.05</v>
      </c>
      <c r="AB33" s="20">
        <v>0.54</v>
      </c>
      <c r="AC33" s="20">
        <v>0.01</v>
      </c>
    </row>
    <row r="34" spans="1:29" x14ac:dyDescent="0.25">
      <c r="A34" s="7">
        <v>83</v>
      </c>
      <c r="B34" s="3" t="s">
        <v>4</v>
      </c>
      <c r="C34" s="3" t="s">
        <v>34</v>
      </c>
      <c r="D34" s="20">
        <v>44.5</v>
      </c>
      <c r="E34" s="20">
        <v>0.46</v>
      </c>
      <c r="F34" s="20">
        <v>0.77</v>
      </c>
      <c r="G34" s="20">
        <v>7.0000000000000007E-2</v>
      </c>
      <c r="H34" s="20">
        <v>8.94</v>
      </c>
      <c r="I34" s="20">
        <v>0.13</v>
      </c>
      <c r="J34" s="20">
        <v>0.21</v>
      </c>
      <c r="K34" s="20">
        <v>0.03</v>
      </c>
      <c r="L34" s="20">
        <v>17.399999999999999</v>
      </c>
      <c r="M34" s="20">
        <v>0.13</v>
      </c>
      <c r="N34" s="20">
        <v>0.33</v>
      </c>
      <c r="O34" s="20">
        <v>0.01</v>
      </c>
      <c r="P34" s="20">
        <v>8.09</v>
      </c>
      <c r="Q34" s="20">
        <v>0.13</v>
      </c>
      <c r="R34" s="20">
        <v>6.35</v>
      </c>
      <c r="S34" s="20">
        <v>0.06</v>
      </c>
      <c r="T34" s="20">
        <v>2.83</v>
      </c>
      <c r="U34" s="20">
        <v>0.24</v>
      </c>
      <c r="V34" s="20">
        <v>0.51</v>
      </c>
      <c r="W34" s="20">
        <v>0.06</v>
      </c>
      <c r="X34" s="20">
        <v>1.03</v>
      </c>
      <c r="Y34" s="20">
        <v>0.08</v>
      </c>
      <c r="Z34" s="20">
        <v>7.77</v>
      </c>
      <c r="AA34" s="20">
        <v>0.11</v>
      </c>
      <c r="AB34" s="20">
        <v>1.1100000000000001</v>
      </c>
      <c r="AC34" s="20">
        <v>0.02</v>
      </c>
    </row>
    <row r="35" spans="1:29" x14ac:dyDescent="0.25">
      <c r="A35" s="7">
        <v>86</v>
      </c>
      <c r="B35" s="3" t="s">
        <v>6</v>
      </c>
      <c r="C35" s="3" t="s">
        <v>35</v>
      </c>
      <c r="D35" s="20">
        <v>45.8</v>
      </c>
      <c r="E35" s="20">
        <v>0.41</v>
      </c>
      <c r="F35" s="20">
        <v>0.59</v>
      </c>
      <c r="G35" s="20">
        <v>0.06</v>
      </c>
      <c r="H35" s="20">
        <v>10.7</v>
      </c>
      <c r="I35" s="20">
        <v>0.12</v>
      </c>
      <c r="J35" s="20">
        <v>0.54</v>
      </c>
      <c r="K35" s="20">
        <v>0.03</v>
      </c>
      <c r="L35" s="20">
        <v>18.899999999999999</v>
      </c>
      <c r="M35" s="20">
        <v>0.12</v>
      </c>
      <c r="N35" s="20">
        <v>0.42</v>
      </c>
      <c r="O35" s="20">
        <v>0.01</v>
      </c>
      <c r="P35" s="20">
        <v>9.7200000000000006</v>
      </c>
      <c r="Q35" s="20">
        <v>0.11</v>
      </c>
      <c r="R35" s="20">
        <v>8.02</v>
      </c>
      <c r="S35" s="20">
        <v>0.06</v>
      </c>
      <c r="T35" s="20">
        <v>2.78</v>
      </c>
      <c r="U35" s="20">
        <v>0.2</v>
      </c>
      <c r="V35" s="20">
        <v>0.16</v>
      </c>
      <c r="W35" s="20">
        <v>0.05</v>
      </c>
      <c r="X35" s="20">
        <v>0.65</v>
      </c>
      <c r="Y35" s="20">
        <v>7.0000000000000007E-2</v>
      </c>
      <c r="Z35" s="20">
        <v>1.48</v>
      </c>
      <c r="AA35" s="20">
        <v>0.03</v>
      </c>
      <c r="AB35" s="20">
        <v>0.23</v>
      </c>
      <c r="AC35" s="20">
        <v>0.01</v>
      </c>
    </row>
    <row r="36" spans="1:29" x14ac:dyDescent="0.25">
      <c r="A36" s="7">
        <v>100</v>
      </c>
      <c r="B36" s="3" t="s">
        <v>5</v>
      </c>
      <c r="C36" s="3" t="s">
        <v>36</v>
      </c>
      <c r="D36" s="20">
        <v>44.8</v>
      </c>
      <c r="E36" s="20">
        <v>0.39</v>
      </c>
      <c r="F36" s="20">
        <v>0.59</v>
      </c>
      <c r="G36" s="20">
        <v>0.06</v>
      </c>
      <c r="H36" s="20">
        <v>10.78</v>
      </c>
      <c r="I36" s="20">
        <v>0.14000000000000001</v>
      </c>
      <c r="J36" s="20">
        <v>0.53</v>
      </c>
      <c r="K36" s="20">
        <v>0.03</v>
      </c>
      <c r="L36" s="20">
        <v>17.7</v>
      </c>
      <c r="M36" s="20">
        <v>0.11</v>
      </c>
      <c r="N36" s="20">
        <v>0.39</v>
      </c>
      <c r="O36" s="20">
        <v>0.01</v>
      </c>
      <c r="P36" s="20">
        <v>8.67</v>
      </c>
      <c r="Q36" s="20">
        <v>0.11</v>
      </c>
      <c r="R36" s="20">
        <v>7.83</v>
      </c>
      <c r="S36" s="20">
        <v>0.05</v>
      </c>
      <c r="T36" s="20">
        <v>2.88</v>
      </c>
      <c r="U36" s="20">
        <v>0.2</v>
      </c>
      <c r="V36" s="20">
        <v>0.23</v>
      </c>
      <c r="W36" s="20">
        <v>0.05</v>
      </c>
      <c r="X36" s="20">
        <v>0.74</v>
      </c>
      <c r="Y36" s="20">
        <v>7.0000000000000007E-2</v>
      </c>
      <c r="Z36" s="20">
        <v>4.2</v>
      </c>
      <c r="AA36" s="20">
        <v>0.05</v>
      </c>
      <c r="AB36" s="20">
        <v>0.55000000000000004</v>
      </c>
      <c r="AC36" s="20">
        <v>0.01</v>
      </c>
    </row>
    <row r="37" spans="1:29" x14ac:dyDescent="0.25">
      <c r="A37" s="7">
        <v>105</v>
      </c>
      <c r="B37" s="3" t="s">
        <v>3</v>
      </c>
      <c r="C37" s="20" t="s">
        <v>37</v>
      </c>
      <c r="D37" s="20">
        <v>46.3</v>
      </c>
      <c r="E37" s="20">
        <v>0.82</v>
      </c>
      <c r="F37" s="20">
        <v>0.89</v>
      </c>
      <c r="G37" s="20">
        <v>0.18</v>
      </c>
      <c r="H37" s="20">
        <v>9.68</v>
      </c>
      <c r="I37" s="20">
        <v>0.31</v>
      </c>
      <c r="J37" s="20">
        <v>0.32</v>
      </c>
      <c r="K37" s="20">
        <v>7.0000000000000007E-2</v>
      </c>
      <c r="L37" s="20">
        <v>15.8</v>
      </c>
      <c r="M37" s="20">
        <v>0.25</v>
      </c>
      <c r="N37" s="20">
        <v>0.34</v>
      </c>
      <c r="O37" s="20">
        <v>0.08</v>
      </c>
      <c r="P37" s="20">
        <v>8.43</v>
      </c>
      <c r="Q37" s="20">
        <v>0.34</v>
      </c>
      <c r="R37" s="20">
        <v>6.45</v>
      </c>
      <c r="S37" s="20">
        <v>0.15</v>
      </c>
      <c r="T37" s="20">
        <v>3.01</v>
      </c>
      <c r="U37" s="20">
        <v>1.19</v>
      </c>
      <c r="V37" s="20">
        <v>0.44</v>
      </c>
      <c r="W37" s="20">
        <v>0.17</v>
      </c>
      <c r="X37" s="20">
        <v>0.79</v>
      </c>
      <c r="Y37" s="20">
        <v>0.28999999999999998</v>
      </c>
      <c r="Z37" s="20">
        <v>6.67</v>
      </c>
      <c r="AA37" s="20">
        <v>0.25</v>
      </c>
      <c r="AB37" s="20">
        <v>0.72</v>
      </c>
      <c r="AC37" s="20">
        <v>0.05</v>
      </c>
    </row>
    <row r="38" spans="1:29" x14ac:dyDescent="0.25">
      <c r="A38" s="7">
        <v>113</v>
      </c>
      <c r="B38" s="3" t="s">
        <v>3</v>
      </c>
      <c r="C38" s="20" t="s">
        <v>38</v>
      </c>
      <c r="D38" s="20">
        <v>46.1</v>
      </c>
      <c r="E38" s="20">
        <v>0.64</v>
      </c>
      <c r="F38" s="20">
        <v>1</v>
      </c>
      <c r="G38" s="20">
        <v>0.16</v>
      </c>
      <c r="H38" s="20">
        <v>9.92</v>
      </c>
      <c r="I38" s="20">
        <v>0.26</v>
      </c>
      <c r="J38" s="20">
        <v>0.37</v>
      </c>
      <c r="K38" s="20">
        <v>0.06</v>
      </c>
      <c r="L38" s="20">
        <v>16.100000000000001</v>
      </c>
      <c r="M38" s="20">
        <v>0.19</v>
      </c>
      <c r="N38" s="20">
        <v>0.31</v>
      </c>
      <c r="O38" s="20">
        <v>0.06</v>
      </c>
      <c r="P38" s="20">
        <v>8.39</v>
      </c>
      <c r="Q38" s="20">
        <v>0.33</v>
      </c>
      <c r="R38" s="20">
        <v>6.07</v>
      </c>
      <c r="S38" s="20">
        <v>0.11</v>
      </c>
      <c r="T38" s="20">
        <v>3.1</v>
      </c>
      <c r="U38" s="20">
        <v>1.23</v>
      </c>
      <c r="V38" s="20">
        <v>0.47</v>
      </c>
      <c r="W38" s="20">
        <v>0.15</v>
      </c>
      <c r="X38" s="20">
        <v>0.88</v>
      </c>
      <c r="Y38" s="20">
        <v>0.24</v>
      </c>
      <c r="Z38" s="20">
        <v>6.37</v>
      </c>
      <c r="AA38" s="20">
        <v>0.18</v>
      </c>
      <c r="AB38" s="20">
        <v>0.79</v>
      </c>
      <c r="AC38" s="20">
        <v>0.04</v>
      </c>
    </row>
    <row r="39" spans="1:29" x14ac:dyDescent="0.25">
      <c r="A39" s="7">
        <v>114</v>
      </c>
      <c r="B39" s="3" t="s">
        <v>10</v>
      </c>
      <c r="C39" s="20" t="s">
        <v>39</v>
      </c>
      <c r="D39" s="20">
        <v>43.7</v>
      </c>
      <c r="E39" s="20">
        <v>0.4</v>
      </c>
      <c r="F39" s="20">
        <v>0.87</v>
      </c>
      <c r="G39" s="20">
        <v>7.0000000000000007E-2</v>
      </c>
      <c r="H39" s="20">
        <v>9.06</v>
      </c>
      <c r="I39" s="20">
        <v>0.13</v>
      </c>
      <c r="J39" s="20">
        <v>0.36</v>
      </c>
      <c r="K39" s="20">
        <v>0.03</v>
      </c>
      <c r="L39" s="20">
        <v>16.8</v>
      </c>
      <c r="M39" s="20">
        <v>0.1</v>
      </c>
      <c r="N39" s="20">
        <v>0.34</v>
      </c>
      <c r="O39" s="20">
        <v>0.01</v>
      </c>
      <c r="P39" s="20">
        <v>9.19</v>
      </c>
      <c r="Q39" s="20">
        <v>0.11</v>
      </c>
      <c r="R39" s="20">
        <v>5.74</v>
      </c>
      <c r="S39" s="20">
        <v>0.04</v>
      </c>
      <c r="T39" s="20">
        <v>2.5099999999999998</v>
      </c>
      <c r="U39" s="20">
        <v>0.21</v>
      </c>
      <c r="V39" s="20">
        <v>0.35</v>
      </c>
      <c r="W39" s="20">
        <v>0.06</v>
      </c>
      <c r="X39" s="20">
        <v>0.8</v>
      </c>
      <c r="Y39" s="20">
        <v>0.08</v>
      </c>
      <c r="Z39" s="20">
        <v>9.1300000000000008</v>
      </c>
      <c r="AA39" s="20">
        <v>0.1</v>
      </c>
      <c r="AB39" s="20">
        <v>1</v>
      </c>
      <c r="AC39" s="20">
        <v>0.02</v>
      </c>
    </row>
    <row r="40" spans="1:29" x14ac:dyDescent="0.25">
      <c r="A40" s="7">
        <v>115</v>
      </c>
      <c r="B40" s="3" t="s">
        <v>10</v>
      </c>
      <c r="C40" s="20" t="s">
        <v>40</v>
      </c>
      <c r="D40" s="20">
        <v>44.2</v>
      </c>
      <c r="E40" s="20">
        <v>0.47</v>
      </c>
      <c r="F40" s="20">
        <v>0.89</v>
      </c>
      <c r="G40" s="20">
        <v>7.0000000000000007E-2</v>
      </c>
      <c r="H40" s="20">
        <v>9.08</v>
      </c>
      <c r="I40" s="20">
        <v>0.14000000000000001</v>
      </c>
      <c r="J40" s="20">
        <v>0.43</v>
      </c>
      <c r="K40" s="20">
        <v>0.04</v>
      </c>
      <c r="L40" s="20">
        <v>17.100000000000001</v>
      </c>
      <c r="M40" s="20">
        <v>0.14000000000000001</v>
      </c>
      <c r="N40" s="20">
        <v>0.34</v>
      </c>
      <c r="O40" s="20">
        <v>0.02</v>
      </c>
      <c r="P40" s="20">
        <v>9.0399999999999991</v>
      </c>
      <c r="Q40" s="20">
        <v>0.14000000000000001</v>
      </c>
      <c r="R40" s="20">
        <v>5.86</v>
      </c>
      <c r="S40" s="20">
        <v>0.06</v>
      </c>
      <c r="T40" s="20">
        <v>2.4700000000000002</v>
      </c>
      <c r="U40" s="20">
        <v>0.25</v>
      </c>
      <c r="V40" s="20">
        <v>0.34</v>
      </c>
      <c r="W40" s="20">
        <v>0.06</v>
      </c>
      <c r="X40" s="20">
        <v>0.74</v>
      </c>
      <c r="Y40" s="20">
        <v>0.08</v>
      </c>
      <c r="Z40" s="20">
        <v>8.3699999999999992</v>
      </c>
      <c r="AA40" s="20">
        <v>0.12</v>
      </c>
      <c r="AB40" s="20">
        <v>1</v>
      </c>
      <c r="AC40" s="20">
        <v>0.02</v>
      </c>
    </row>
    <row r="41" spans="1:29" x14ac:dyDescent="0.25">
      <c r="A41" s="7">
        <v>122</v>
      </c>
      <c r="B41" s="3" t="s">
        <v>8</v>
      </c>
      <c r="C41" s="20" t="s">
        <v>41</v>
      </c>
      <c r="D41" s="20">
        <v>47</v>
      </c>
      <c r="E41" s="20">
        <v>0.71</v>
      </c>
      <c r="F41" s="20">
        <v>0.88</v>
      </c>
      <c r="G41" s="20">
        <v>0.16</v>
      </c>
      <c r="H41" s="20">
        <v>10.65</v>
      </c>
      <c r="I41" s="20">
        <v>0.27</v>
      </c>
      <c r="J41" s="20">
        <v>0.33</v>
      </c>
      <c r="K41" s="20">
        <v>0.06</v>
      </c>
      <c r="L41" s="20">
        <v>15.4</v>
      </c>
      <c r="M41" s="20">
        <v>0.21</v>
      </c>
      <c r="N41" s="20">
        <v>0.28000000000000003</v>
      </c>
      <c r="O41" s="20">
        <v>7.0000000000000007E-2</v>
      </c>
      <c r="P41" s="20">
        <v>8.41</v>
      </c>
      <c r="Q41" s="20">
        <v>0.28999999999999998</v>
      </c>
      <c r="R41" s="20">
        <v>6.38</v>
      </c>
      <c r="S41" s="20">
        <v>0.12</v>
      </c>
      <c r="T41" s="20">
        <v>3.07</v>
      </c>
      <c r="U41" s="20">
        <v>1</v>
      </c>
      <c r="V41" s="20">
        <v>0.47</v>
      </c>
      <c r="W41" s="20">
        <v>0.15</v>
      </c>
      <c r="X41" s="20">
        <v>0.95</v>
      </c>
      <c r="Y41" s="20">
        <v>0.26</v>
      </c>
      <c r="Z41" s="20">
        <v>5.45</v>
      </c>
      <c r="AA41" s="20">
        <v>0.19</v>
      </c>
      <c r="AB41" s="20">
        <v>0.63</v>
      </c>
      <c r="AC41" s="20">
        <v>0.04</v>
      </c>
    </row>
    <row r="42" spans="1:29" x14ac:dyDescent="0.25">
      <c r="A42" s="7">
        <v>126</v>
      </c>
      <c r="B42" s="3" t="s">
        <v>3</v>
      </c>
      <c r="C42" s="20" t="s">
        <v>42</v>
      </c>
      <c r="D42" s="20">
        <v>46.3</v>
      </c>
      <c r="E42" s="20">
        <v>0.83</v>
      </c>
      <c r="F42" s="20">
        <v>0.96</v>
      </c>
      <c r="G42" s="20">
        <v>0.19</v>
      </c>
      <c r="H42" s="20">
        <v>10.02</v>
      </c>
      <c r="I42" s="20">
        <v>0.4</v>
      </c>
      <c r="J42" s="20">
        <v>0.28999999999999998</v>
      </c>
      <c r="K42" s="20">
        <v>7.0000000000000007E-2</v>
      </c>
      <c r="L42" s="20">
        <v>15.9</v>
      </c>
      <c r="M42" s="20">
        <v>0.25</v>
      </c>
      <c r="N42" s="20">
        <v>0.32</v>
      </c>
      <c r="O42" s="20">
        <v>0.08</v>
      </c>
      <c r="P42" s="20">
        <v>8.15</v>
      </c>
      <c r="Q42" s="20">
        <v>0.46</v>
      </c>
      <c r="R42" s="20">
        <v>6.5</v>
      </c>
      <c r="S42" s="20">
        <v>0.14000000000000001</v>
      </c>
      <c r="T42" s="20">
        <v>3.06</v>
      </c>
      <c r="U42" s="20">
        <v>1.65</v>
      </c>
      <c r="V42" s="20">
        <v>0.45</v>
      </c>
      <c r="W42" s="20">
        <v>0.17</v>
      </c>
      <c r="X42" s="20">
        <v>0.83</v>
      </c>
      <c r="Y42" s="20">
        <v>0.3</v>
      </c>
      <c r="Z42" s="20">
        <v>6.4</v>
      </c>
      <c r="AA42" s="20">
        <v>0.24</v>
      </c>
      <c r="AB42" s="20">
        <v>0.77</v>
      </c>
      <c r="AC42" s="20">
        <v>0.05</v>
      </c>
    </row>
    <row r="43" spans="1:29" x14ac:dyDescent="0.25">
      <c r="A43" s="7">
        <v>135</v>
      </c>
      <c r="B43" s="3" t="s">
        <v>8</v>
      </c>
      <c r="C43" s="20" t="s">
        <v>121</v>
      </c>
      <c r="D43" s="20">
        <v>47</v>
      </c>
      <c r="E43" s="20">
        <v>0.69</v>
      </c>
      <c r="F43" s="20">
        <v>0.89</v>
      </c>
      <c r="G43" s="20">
        <v>0.2</v>
      </c>
      <c r="H43" s="20">
        <v>10.71</v>
      </c>
      <c r="I43" s="20">
        <v>0.37</v>
      </c>
      <c r="J43" s="20">
        <v>0.42</v>
      </c>
      <c r="K43" s="20">
        <v>0.06</v>
      </c>
      <c r="L43" s="20">
        <v>16.100000000000001</v>
      </c>
      <c r="M43" s="20">
        <v>0.2</v>
      </c>
      <c r="N43" s="20">
        <v>0.34</v>
      </c>
      <c r="O43" s="20">
        <v>0.06</v>
      </c>
      <c r="P43" s="20">
        <v>8.73</v>
      </c>
      <c r="Q43" s="20">
        <v>0.46</v>
      </c>
      <c r="R43" s="20">
        <v>6.27</v>
      </c>
      <c r="S43" s="20">
        <v>0.11</v>
      </c>
      <c r="T43" s="20">
        <v>3.04</v>
      </c>
      <c r="U43" s="20">
        <v>1.67</v>
      </c>
      <c r="V43" s="20">
        <v>0.42</v>
      </c>
      <c r="W43" s="20">
        <v>0.15</v>
      </c>
      <c r="X43" s="20">
        <v>0.77</v>
      </c>
      <c r="Y43" s="20">
        <v>0.27</v>
      </c>
      <c r="Z43" s="20">
        <v>4.67</v>
      </c>
      <c r="AA43" s="20">
        <v>0.16</v>
      </c>
      <c r="AB43" s="20">
        <v>0.54</v>
      </c>
      <c r="AC43" s="20">
        <v>0.03</v>
      </c>
    </row>
    <row r="44" spans="1:29" x14ac:dyDescent="0.25">
      <c r="A44" s="7">
        <v>140</v>
      </c>
      <c r="B44" s="3" t="s">
        <v>10</v>
      </c>
      <c r="C44" s="20" t="s">
        <v>43</v>
      </c>
      <c r="D44" s="20">
        <v>41.4</v>
      </c>
      <c r="E44" s="20">
        <v>0.39</v>
      </c>
      <c r="F44" s="20">
        <v>0.9</v>
      </c>
      <c r="G44" s="20">
        <v>7.0000000000000007E-2</v>
      </c>
      <c r="H44" s="20">
        <v>8.4700000000000006</v>
      </c>
      <c r="I44" s="20">
        <v>0.13</v>
      </c>
      <c r="J44" s="20">
        <v>0.39</v>
      </c>
      <c r="K44" s="20">
        <v>0.03</v>
      </c>
      <c r="L44" s="20">
        <v>17.5</v>
      </c>
      <c r="M44" s="20">
        <v>0.11</v>
      </c>
      <c r="N44" s="20">
        <v>0.36</v>
      </c>
      <c r="O44" s="20">
        <v>0.01</v>
      </c>
      <c r="P44" s="20">
        <v>9.82</v>
      </c>
      <c r="Q44" s="20">
        <v>0.13</v>
      </c>
      <c r="R44" s="20">
        <v>5.77</v>
      </c>
      <c r="S44" s="20">
        <v>0.05</v>
      </c>
      <c r="T44" s="20">
        <v>2.36</v>
      </c>
      <c r="U44" s="20">
        <v>0.21</v>
      </c>
      <c r="V44" s="20">
        <v>0.35</v>
      </c>
      <c r="W44" s="20">
        <v>0.06</v>
      </c>
      <c r="X44" s="20">
        <v>0.71</v>
      </c>
      <c r="Y44" s="20">
        <v>0.08</v>
      </c>
      <c r="Z44" s="20">
        <v>11.19</v>
      </c>
      <c r="AA44" s="20">
        <v>0.12</v>
      </c>
      <c r="AB44" s="20">
        <v>0.68</v>
      </c>
      <c r="AC44" s="20">
        <v>0.01</v>
      </c>
    </row>
    <row r="45" spans="1:29" x14ac:dyDescent="0.25">
      <c r="A45" s="7">
        <v>141</v>
      </c>
      <c r="B45" s="3" t="s">
        <v>10</v>
      </c>
      <c r="C45" s="20" t="s">
        <v>122</v>
      </c>
      <c r="D45" s="20">
        <v>39.200000000000003</v>
      </c>
      <c r="E45" s="20">
        <v>0.4</v>
      </c>
      <c r="F45" s="20">
        <v>0.85</v>
      </c>
      <c r="G45" s="20">
        <v>0.08</v>
      </c>
      <c r="H45" s="20">
        <v>7.85</v>
      </c>
      <c r="I45" s="20">
        <v>0.12</v>
      </c>
      <c r="J45" s="20">
        <v>0.39</v>
      </c>
      <c r="K45" s="20">
        <v>0.04</v>
      </c>
      <c r="L45" s="20">
        <v>16.5</v>
      </c>
      <c r="M45" s="20">
        <v>0.12</v>
      </c>
      <c r="N45" s="20">
        <v>0.34</v>
      </c>
      <c r="O45" s="20">
        <v>0.01</v>
      </c>
      <c r="P45" s="20">
        <v>10.48</v>
      </c>
      <c r="Q45" s="20">
        <v>0.14000000000000001</v>
      </c>
      <c r="R45" s="20">
        <v>5.76</v>
      </c>
      <c r="S45" s="20">
        <v>0.05</v>
      </c>
      <c r="T45" s="20">
        <v>2.5299999999999998</v>
      </c>
      <c r="U45" s="20">
        <v>0.24</v>
      </c>
      <c r="V45" s="20">
        <v>0.36</v>
      </c>
      <c r="W45" s="20">
        <v>0.06</v>
      </c>
      <c r="X45" s="20">
        <v>0.8</v>
      </c>
      <c r="Y45" s="20">
        <v>0.08</v>
      </c>
      <c r="Z45" s="20">
        <v>14.06</v>
      </c>
      <c r="AA45" s="20">
        <v>0.16</v>
      </c>
      <c r="AB45" s="20">
        <v>0.73</v>
      </c>
      <c r="AC45" s="20">
        <v>0.02</v>
      </c>
    </row>
    <row r="46" spans="1:29" x14ac:dyDescent="0.25">
      <c r="A46" s="7">
        <v>150</v>
      </c>
      <c r="B46" s="3" t="s">
        <v>4</v>
      </c>
      <c r="C46" s="3" t="s">
        <v>44</v>
      </c>
      <c r="D46" s="20">
        <v>44.8</v>
      </c>
      <c r="E46" s="20">
        <v>0.69</v>
      </c>
      <c r="F46" s="20">
        <v>0.56999999999999995</v>
      </c>
      <c r="G46" s="20">
        <v>0.12</v>
      </c>
      <c r="H46" s="20">
        <v>10.36</v>
      </c>
      <c r="I46" s="20">
        <v>0.28999999999999998</v>
      </c>
      <c r="J46" s="20">
        <v>0.53</v>
      </c>
      <c r="K46" s="20">
        <v>0.06</v>
      </c>
      <c r="L46" s="20">
        <v>18.7</v>
      </c>
      <c r="M46" s="20">
        <v>0.22</v>
      </c>
      <c r="N46" s="20">
        <v>0.37</v>
      </c>
      <c r="O46" s="20">
        <v>7.0000000000000007E-2</v>
      </c>
      <c r="P46" s="20">
        <v>9.3800000000000008</v>
      </c>
      <c r="Q46" s="20">
        <v>0.28999999999999998</v>
      </c>
      <c r="R46" s="20">
        <v>7.39</v>
      </c>
      <c r="S46" s="20">
        <v>0.12</v>
      </c>
      <c r="T46" s="20">
        <v>3.07</v>
      </c>
      <c r="U46" s="20">
        <v>0.98</v>
      </c>
      <c r="V46" s="20">
        <v>0.2</v>
      </c>
      <c r="W46" s="20">
        <v>0.13</v>
      </c>
      <c r="X46" s="20">
        <v>0.53</v>
      </c>
      <c r="Y46" s="20">
        <v>0.25</v>
      </c>
      <c r="Z46" s="20">
        <v>3.47</v>
      </c>
      <c r="AA46" s="20">
        <v>0.14000000000000001</v>
      </c>
      <c r="AB46" s="20">
        <v>0.56999999999999995</v>
      </c>
      <c r="AC46" s="20">
        <v>0.04</v>
      </c>
    </row>
    <row r="47" spans="1:29" x14ac:dyDescent="0.25">
      <c r="A47" s="7">
        <v>158</v>
      </c>
      <c r="B47" s="3" t="s">
        <v>8</v>
      </c>
      <c r="C47" s="20" t="s">
        <v>45</v>
      </c>
      <c r="D47" s="20">
        <v>47.8</v>
      </c>
      <c r="E47" s="20">
        <v>0.7</v>
      </c>
      <c r="F47" s="20">
        <v>0.67</v>
      </c>
      <c r="G47" s="20">
        <v>0.16</v>
      </c>
      <c r="H47" s="20">
        <v>11.29</v>
      </c>
      <c r="I47" s="20">
        <v>0.26</v>
      </c>
      <c r="J47" s="20">
        <v>0.36</v>
      </c>
      <c r="K47" s="20">
        <v>0.06</v>
      </c>
      <c r="L47" s="20">
        <v>15.3</v>
      </c>
      <c r="M47" s="20">
        <v>0.21</v>
      </c>
      <c r="N47" s="20">
        <v>0.33</v>
      </c>
      <c r="O47" s="20">
        <v>0.06</v>
      </c>
      <c r="P47" s="20">
        <v>8.73</v>
      </c>
      <c r="Q47" s="20">
        <v>0.26</v>
      </c>
      <c r="R47" s="20">
        <v>6.31</v>
      </c>
      <c r="S47" s="20">
        <v>0.12</v>
      </c>
      <c r="T47" s="20">
        <v>3.25</v>
      </c>
      <c r="U47" s="20">
        <v>0.85</v>
      </c>
      <c r="V47" s="20">
        <v>0.45</v>
      </c>
      <c r="W47" s="20">
        <v>0.15</v>
      </c>
      <c r="X47" s="20">
        <v>0.75</v>
      </c>
      <c r="Y47" s="20">
        <v>0.23</v>
      </c>
      <c r="Z47" s="20">
        <v>4.0999999999999996</v>
      </c>
      <c r="AA47" s="20">
        <v>0.15</v>
      </c>
      <c r="AB47" s="20">
        <v>0.52</v>
      </c>
      <c r="AC47" s="20">
        <v>0.03</v>
      </c>
    </row>
    <row r="48" spans="1:29" x14ac:dyDescent="0.25">
      <c r="A48" s="7">
        <v>164</v>
      </c>
      <c r="B48" s="3" t="s">
        <v>4</v>
      </c>
      <c r="C48" s="3" t="s">
        <v>46</v>
      </c>
      <c r="D48" s="20">
        <v>45</v>
      </c>
      <c r="E48" s="20">
        <v>0.43</v>
      </c>
      <c r="F48" s="20">
        <v>0.72</v>
      </c>
      <c r="G48" s="20">
        <v>7.0000000000000007E-2</v>
      </c>
      <c r="H48" s="20">
        <v>10.32</v>
      </c>
      <c r="I48" s="20">
        <v>0.13</v>
      </c>
      <c r="J48" s="20">
        <v>0.21</v>
      </c>
      <c r="K48" s="20">
        <v>0.03</v>
      </c>
      <c r="L48" s="20">
        <v>15.6</v>
      </c>
      <c r="M48" s="20">
        <v>0.11</v>
      </c>
      <c r="N48" s="20">
        <v>0.2</v>
      </c>
      <c r="O48" s="20">
        <v>0.01</v>
      </c>
      <c r="P48" s="20">
        <v>8.89</v>
      </c>
      <c r="Q48" s="20">
        <v>0.12</v>
      </c>
      <c r="R48" s="20">
        <v>5.26</v>
      </c>
      <c r="S48" s="20">
        <v>0.05</v>
      </c>
      <c r="T48" s="20">
        <v>3.09</v>
      </c>
      <c r="U48" s="20">
        <v>0.22</v>
      </c>
      <c r="V48" s="20">
        <v>0.31</v>
      </c>
      <c r="W48" s="20">
        <v>0.06</v>
      </c>
      <c r="X48" s="20">
        <v>1.1200000000000001</v>
      </c>
      <c r="Y48" s="20">
        <v>0.08</v>
      </c>
      <c r="Z48" s="20">
        <v>8.36</v>
      </c>
      <c r="AA48" s="20">
        <v>0.1</v>
      </c>
      <c r="AB48" s="20">
        <v>0.83</v>
      </c>
      <c r="AC48" s="20">
        <v>0.02</v>
      </c>
    </row>
    <row r="49" spans="1:29" x14ac:dyDescent="0.25">
      <c r="A49" s="7">
        <v>167</v>
      </c>
      <c r="B49" s="3" t="s">
        <v>3</v>
      </c>
      <c r="C49" s="20" t="s">
        <v>47</v>
      </c>
      <c r="D49" s="20">
        <v>46.3</v>
      </c>
      <c r="E49" s="20">
        <v>0.78</v>
      </c>
      <c r="F49" s="20">
        <v>0.73</v>
      </c>
      <c r="G49" s="20">
        <v>0.14000000000000001</v>
      </c>
      <c r="H49" s="20">
        <v>10.08</v>
      </c>
      <c r="I49" s="20">
        <v>0.41</v>
      </c>
      <c r="J49" s="20">
        <v>0.27</v>
      </c>
      <c r="K49" s="20">
        <v>0.06</v>
      </c>
      <c r="L49" s="20">
        <v>16</v>
      </c>
      <c r="M49" s="20">
        <v>0.21</v>
      </c>
      <c r="N49" s="20">
        <v>0.32</v>
      </c>
      <c r="O49" s="20">
        <v>0.06</v>
      </c>
      <c r="P49" s="20">
        <v>9.84</v>
      </c>
      <c r="Q49" s="20">
        <v>0.36</v>
      </c>
      <c r="R49" s="20">
        <v>5.9</v>
      </c>
      <c r="S49" s="20">
        <v>0.12</v>
      </c>
      <c r="T49" s="20">
        <v>3.31</v>
      </c>
      <c r="U49" s="20">
        <v>1.17</v>
      </c>
      <c r="V49" s="20">
        <v>0.41</v>
      </c>
      <c r="W49" s="20">
        <v>0.15</v>
      </c>
      <c r="X49" s="20">
        <v>0.8</v>
      </c>
      <c r="Y49" s="20">
        <v>0.26</v>
      </c>
      <c r="Z49" s="20">
        <v>5.26</v>
      </c>
      <c r="AA49" s="20">
        <v>0.18</v>
      </c>
      <c r="AB49" s="20">
        <v>0.62</v>
      </c>
      <c r="AC49" s="20">
        <v>0.04</v>
      </c>
    </row>
    <row r="50" spans="1:29" x14ac:dyDescent="0.25">
      <c r="A50" s="7">
        <v>170</v>
      </c>
      <c r="B50" s="3" t="s">
        <v>4</v>
      </c>
      <c r="C50" s="3" t="s">
        <v>48</v>
      </c>
      <c r="D50" s="20">
        <v>44.2</v>
      </c>
      <c r="E50" s="20">
        <v>0.47</v>
      </c>
      <c r="F50" s="20">
        <v>0.6</v>
      </c>
      <c r="G50" s="20">
        <v>7.0000000000000007E-2</v>
      </c>
      <c r="H50" s="20">
        <v>10.86</v>
      </c>
      <c r="I50" s="20">
        <v>0.15</v>
      </c>
      <c r="J50" s="20">
        <v>0.19</v>
      </c>
      <c r="K50" s="20">
        <v>0.03</v>
      </c>
      <c r="L50" s="20">
        <v>15.1</v>
      </c>
      <c r="M50" s="20">
        <v>0.12</v>
      </c>
      <c r="N50" s="20">
        <v>0.17</v>
      </c>
      <c r="O50" s="20">
        <v>0.01</v>
      </c>
      <c r="P50" s="20">
        <v>9.3699999999999992</v>
      </c>
      <c r="Q50" s="20">
        <v>0.16</v>
      </c>
      <c r="R50" s="20">
        <v>5.13</v>
      </c>
      <c r="S50" s="20">
        <v>0.05</v>
      </c>
      <c r="T50" s="20">
        <v>2.64</v>
      </c>
      <c r="U50" s="20">
        <v>0.3</v>
      </c>
      <c r="V50" s="20">
        <v>0.18</v>
      </c>
      <c r="W50" s="20">
        <v>0.06</v>
      </c>
      <c r="X50" s="20">
        <v>1.1399999999999999</v>
      </c>
      <c r="Y50" s="20">
        <v>0.08</v>
      </c>
      <c r="Z50" s="20">
        <v>9.7100000000000009</v>
      </c>
      <c r="AA50" s="20">
        <v>0.13</v>
      </c>
      <c r="AB50" s="20">
        <v>0.68</v>
      </c>
      <c r="AC50" s="20">
        <v>0.02</v>
      </c>
    </row>
    <row r="51" spans="1:29" x14ac:dyDescent="0.25">
      <c r="A51" s="7">
        <v>172</v>
      </c>
      <c r="B51" s="3" t="s">
        <v>6</v>
      </c>
      <c r="C51" s="3" t="s">
        <v>49</v>
      </c>
      <c r="D51" s="20">
        <v>42.9</v>
      </c>
      <c r="E51" s="20">
        <v>0.41</v>
      </c>
      <c r="F51" s="20">
        <v>0.77</v>
      </c>
      <c r="G51" s="20">
        <v>7.0000000000000007E-2</v>
      </c>
      <c r="H51" s="20">
        <v>10.32</v>
      </c>
      <c r="I51" s="20">
        <v>0.13</v>
      </c>
      <c r="J51" s="20">
        <v>0.27</v>
      </c>
      <c r="K51" s="20">
        <v>0.03</v>
      </c>
      <c r="L51" s="20">
        <v>16.7</v>
      </c>
      <c r="M51" s="20">
        <v>0.12</v>
      </c>
      <c r="N51" s="20">
        <v>0.24</v>
      </c>
      <c r="O51" s="20">
        <v>0.01</v>
      </c>
      <c r="P51" s="20">
        <v>9.91</v>
      </c>
      <c r="Q51" s="20">
        <v>0.13</v>
      </c>
      <c r="R51" s="20">
        <v>5.86</v>
      </c>
      <c r="S51" s="20">
        <v>0.05</v>
      </c>
      <c r="T51" s="20">
        <v>3.03</v>
      </c>
      <c r="U51" s="20">
        <v>0.21</v>
      </c>
      <c r="V51" s="20">
        <v>0.2</v>
      </c>
      <c r="W51" s="20">
        <v>0.06</v>
      </c>
      <c r="X51" s="20">
        <v>1.08</v>
      </c>
      <c r="Y51" s="20">
        <v>0.08</v>
      </c>
      <c r="Z51" s="20">
        <v>7.96</v>
      </c>
      <c r="AA51" s="20">
        <v>0.1</v>
      </c>
      <c r="AB51" s="20">
        <v>0.56999999999999995</v>
      </c>
      <c r="AC51" s="20">
        <v>0.01</v>
      </c>
    </row>
    <row r="52" spans="1:29" x14ac:dyDescent="0.25">
      <c r="A52" s="7">
        <v>176</v>
      </c>
      <c r="B52" s="3" t="s">
        <v>4</v>
      </c>
      <c r="C52" s="3" t="s">
        <v>50</v>
      </c>
      <c r="D52" s="20">
        <v>46</v>
      </c>
      <c r="E52" s="20">
        <v>0.38</v>
      </c>
      <c r="F52" s="20">
        <v>0.85</v>
      </c>
      <c r="G52" s="20">
        <v>7.0000000000000007E-2</v>
      </c>
      <c r="H52" s="20">
        <v>10.17</v>
      </c>
      <c r="I52" s="20">
        <v>0.12</v>
      </c>
      <c r="J52" s="20">
        <v>0.31</v>
      </c>
      <c r="K52" s="20">
        <v>0.04</v>
      </c>
      <c r="L52" s="20">
        <v>15.3</v>
      </c>
      <c r="M52" s="20">
        <v>0.09</v>
      </c>
      <c r="N52" s="20">
        <v>0.28000000000000003</v>
      </c>
      <c r="O52" s="20">
        <v>0.01</v>
      </c>
      <c r="P52" s="20">
        <v>8.56</v>
      </c>
      <c r="Q52" s="20">
        <v>0.12</v>
      </c>
      <c r="R52" s="20">
        <v>6.04</v>
      </c>
      <c r="S52" s="20">
        <v>0.06</v>
      </c>
      <c r="T52" s="20">
        <v>3.01</v>
      </c>
      <c r="U52" s="20">
        <v>0.25</v>
      </c>
      <c r="V52" s="20">
        <v>0.4</v>
      </c>
      <c r="W52" s="20">
        <v>0.06</v>
      </c>
      <c r="X52" s="20">
        <v>1.06</v>
      </c>
      <c r="Y52" s="20">
        <v>0.08</v>
      </c>
      <c r="Z52" s="20">
        <v>7.12</v>
      </c>
      <c r="AA52" s="20">
        <v>0.1</v>
      </c>
      <c r="AB52" s="20">
        <v>0.76</v>
      </c>
      <c r="AC52" s="20">
        <v>0.02</v>
      </c>
    </row>
    <row r="53" spans="1:29" x14ac:dyDescent="0.25">
      <c r="A53" s="7">
        <v>178</v>
      </c>
      <c r="B53" s="3" t="s">
        <v>4</v>
      </c>
      <c r="C53" s="3" t="s">
        <v>51</v>
      </c>
      <c r="D53" s="20">
        <v>43.4</v>
      </c>
      <c r="E53" s="20">
        <v>0.45</v>
      </c>
      <c r="F53" s="20">
        <v>0.76</v>
      </c>
      <c r="G53" s="20">
        <v>7.0000000000000007E-2</v>
      </c>
      <c r="H53" s="20">
        <v>9.89</v>
      </c>
      <c r="I53" s="20">
        <v>0.14000000000000001</v>
      </c>
      <c r="J53" s="20">
        <v>0.23</v>
      </c>
      <c r="K53" s="20">
        <v>0.03</v>
      </c>
      <c r="L53" s="20">
        <v>16.600000000000001</v>
      </c>
      <c r="M53" s="20">
        <v>0.13</v>
      </c>
      <c r="N53" s="20">
        <v>0.28999999999999998</v>
      </c>
      <c r="O53" s="20">
        <v>0.01</v>
      </c>
      <c r="P53" s="20">
        <v>8.9499999999999993</v>
      </c>
      <c r="Q53" s="20">
        <v>0.14000000000000001</v>
      </c>
      <c r="R53" s="20">
        <v>6.37</v>
      </c>
      <c r="S53" s="20">
        <v>0.06</v>
      </c>
      <c r="T53" s="20">
        <v>2.91</v>
      </c>
      <c r="U53" s="20">
        <v>0.24</v>
      </c>
      <c r="V53" s="20">
        <v>0.34</v>
      </c>
      <c r="W53" s="20">
        <v>0.06</v>
      </c>
      <c r="X53" s="20">
        <v>1.0900000000000001</v>
      </c>
      <c r="Y53" s="20">
        <v>0.08</v>
      </c>
      <c r="Z53" s="20">
        <v>8.34</v>
      </c>
      <c r="AA53" s="20">
        <v>0.12</v>
      </c>
      <c r="AB53" s="20">
        <v>0.67</v>
      </c>
      <c r="AC53" s="20">
        <v>0.02</v>
      </c>
    </row>
    <row r="54" spans="1:29" x14ac:dyDescent="0.25">
      <c r="A54" s="7">
        <v>180</v>
      </c>
      <c r="B54" s="3" t="s">
        <v>4</v>
      </c>
      <c r="C54" s="3" t="s">
        <v>12</v>
      </c>
      <c r="D54" s="20">
        <v>45.6</v>
      </c>
      <c r="E54" s="20">
        <v>1.04</v>
      </c>
      <c r="F54" s="20">
        <v>0.71</v>
      </c>
      <c r="G54" s="20">
        <v>0.23</v>
      </c>
      <c r="H54" s="20">
        <v>10.93</v>
      </c>
      <c r="I54" s="20">
        <v>0.46</v>
      </c>
      <c r="J54" s="20">
        <v>0.69</v>
      </c>
      <c r="K54" s="20">
        <v>0.11</v>
      </c>
      <c r="L54" s="20">
        <v>18</v>
      </c>
      <c r="M54" s="20">
        <v>0.39</v>
      </c>
      <c r="N54" s="20">
        <v>0.4</v>
      </c>
      <c r="O54" s="20">
        <v>0.14000000000000001</v>
      </c>
      <c r="P54" s="20">
        <v>9.09</v>
      </c>
      <c r="Q54" s="20">
        <v>0.5</v>
      </c>
      <c r="R54" s="20">
        <v>7.52</v>
      </c>
      <c r="S54" s="20">
        <v>0.23</v>
      </c>
      <c r="T54" s="20">
        <v>2.3199999999999998</v>
      </c>
      <c r="U54" s="20">
        <v>1.64</v>
      </c>
      <c r="V54" s="20">
        <v>0.14000000000000001</v>
      </c>
      <c r="W54" s="20">
        <v>0.15</v>
      </c>
      <c r="X54" s="20">
        <v>0.72</v>
      </c>
      <c r="Y54" s="20">
        <v>0.37</v>
      </c>
      <c r="Z54" s="20">
        <v>3.47</v>
      </c>
      <c r="AA54" s="20">
        <v>0.27</v>
      </c>
      <c r="AB54" s="20">
        <v>0.43</v>
      </c>
      <c r="AC54" s="20">
        <v>0.06</v>
      </c>
    </row>
    <row r="55" spans="1:29" x14ac:dyDescent="0.25">
      <c r="A55" s="7">
        <v>195</v>
      </c>
      <c r="B55" s="3" t="s">
        <v>4</v>
      </c>
      <c r="C55" s="3" t="s">
        <v>123</v>
      </c>
      <c r="D55" s="20">
        <v>44.8</v>
      </c>
      <c r="E55" s="20">
        <v>0.41</v>
      </c>
      <c r="F55" s="20">
        <v>0.89</v>
      </c>
      <c r="G55" s="20">
        <v>7.0000000000000007E-2</v>
      </c>
      <c r="H55" s="20">
        <v>9.68</v>
      </c>
      <c r="I55" s="20">
        <v>0.12</v>
      </c>
      <c r="J55" s="20">
        <v>0.24</v>
      </c>
      <c r="K55" s="20">
        <v>0.03</v>
      </c>
      <c r="L55" s="20">
        <v>16.7</v>
      </c>
      <c r="M55" s="20">
        <v>0.11</v>
      </c>
      <c r="N55" s="20">
        <v>0.2</v>
      </c>
      <c r="O55" s="20">
        <v>0.01</v>
      </c>
      <c r="P55" s="20">
        <v>8.5399999999999991</v>
      </c>
      <c r="Q55" s="20">
        <v>0.11</v>
      </c>
      <c r="R55" s="20">
        <v>5.62</v>
      </c>
      <c r="S55" s="20">
        <v>0.04</v>
      </c>
      <c r="T55" s="20">
        <v>3.41</v>
      </c>
      <c r="U55" s="20">
        <v>0.2</v>
      </c>
      <c r="V55" s="20">
        <v>0.4</v>
      </c>
      <c r="W55" s="20">
        <v>0.06</v>
      </c>
      <c r="X55" s="20">
        <v>0.96</v>
      </c>
      <c r="Y55" s="20">
        <v>7.0000000000000007E-2</v>
      </c>
      <c r="Z55" s="20">
        <v>7.33</v>
      </c>
      <c r="AA55" s="20">
        <v>0.09</v>
      </c>
      <c r="AB55" s="20">
        <v>1.08</v>
      </c>
      <c r="AC55" s="20">
        <v>0.02</v>
      </c>
    </row>
    <row r="56" spans="1:29" x14ac:dyDescent="0.25">
      <c r="A56" s="7">
        <v>197</v>
      </c>
      <c r="B56" s="3" t="s">
        <v>6</v>
      </c>
      <c r="C56" s="3" t="s">
        <v>52</v>
      </c>
      <c r="D56" s="20">
        <v>46.8</v>
      </c>
      <c r="E56" s="20">
        <v>0.44</v>
      </c>
      <c r="F56" s="20">
        <v>0.94</v>
      </c>
      <c r="G56" s="20">
        <v>7.0000000000000007E-2</v>
      </c>
      <c r="H56" s="20">
        <v>12.6</v>
      </c>
      <c r="I56" s="20">
        <v>0.17</v>
      </c>
      <c r="J56" s="20">
        <v>0.27</v>
      </c>
      <c r="K56" s="20">
        <v>0.03</v>
      </c>
      <c r="L56" s="20">
        <v>16.3</v>
      </c>
      <c r="M56" s="20">
        <v>0.11</v>
      </c>
      <c r="N56" s="20">
        <v>0.1</v>
      </c>
      <c r="O56" s="20">
        <v>0.01</v>
      </c>
      <c r="P56" s="20">
        <v>10.92</v>
      </c>
      <c r="Q56" s="20">
        <v>0.14000000000000001</v>
      </c>
      <c r="R56" s="20">
        <v>3.64</v>
      </c>
      <c r="S56" s="20">
        <v>0.04</v>
      </c>
      <c r="T56" s="20">
        <v>3.33</v>
      </c>
      <c r="U56" s="20">
        <v>0.22</v>
      </c>
      <c r="V56" s="20">
        <v>7.0000000000000007E-2</v>
      </c>
      <c r="W56" s="20">
        <v>0.05</v>
      </c>
      <c r="X56" s="20">
        <v>1.24</v>
      </c>
      <c r="Y56" s="20">
        <v>0.08</v>
      </c>
      <c r="Z56" s="20">
        <v>2.87</v>
      </c>
      <c r="AA56" s="20">
        <v>0.05</v>
      </c>
      <c r="AB56" s="20">
        <v>0.78</v>
      </c>
      <c r="AC56" s="20">
        <v>0.02</v>
      </c>
    </row>
    <row r="57" spans="1:29" x14ac:dyDescent="0.25">
      <c r="A57" s="7">
        <v>199</v>
      </c>
      <c r="B57" s="3" t="s">
        <v>6</v>
      </c>
      <c r="C57" s="3" t="s">
        <v>124</v>
      </c>
      <c r="D57" s="20">
        <v>46.4</v>
      </c>
      <c r="E57" s="20">
        <v>0.43</v>
      </c>
      <c r="F57" s="20">
        <v>0.91</v>
      </c>
      <c r="G57" s="20">
        <v>7.0000000000000007E-2</v>
      </c>
      <c r="H57" s="20">
        <v>10.34</v>
      </c>
      <c r="I57" s="20">
        <v>0.12</v>
      </c>
      <c r="J57" s="20">
        <v>0.18</v>
      </c>
      <c r="K57" s="20">
        <v>0.03</v>
      </c>
      <c r="L57" s="20">
        <v>19.2</v>
      </c>
      <c r="M57" s="20">
        <v>0.12</v>
      </c>
      <c r="N57" s="20">
        <v>0.13</v>
      </c>
      <c r="O57" s="20">
        <v>0.01</v>
      </c>
      <c r="P57" s="20">
        <v>11.62</v>
      </c>
      <c r="Q57" s="20">
        <v>0.13</v>
      </c>
      <c r="R57" s="20">
        <v>3.44</v>
      </c>
      <c r="S57" s="20">
        <v>0.03</v>
      </c>
      <c r="T57" s="20">
        <v>2.92</v>
      </c>
      <c r="U57" s="20">
        <v>0.2</v>
      </c>
      <c r="V57" s="20">
        <v>0.04</v>
      </c>
      <c r="W57" s="20">
        <v>0.05</v>
      </c>
      <c r="X57" s="20">
        <v>1.2</v>
      </c>
      <c r="Y57" s="20">
        <v>0.08</v>
      </c>
      <c r="Z57" s="20">
        <v>2.41</v>
      </c>
      <c r="AA57" s="20">
        <v>0.04</v>
      </c>
      <c r="AB57" s="20">
        <v>1.03</v>
      </c>
      <c r="AC57" s="20">
        <v>0.02</v>
      </c>
    </row>
    <row r="58" spans="1:29" x14ac:dyDescent="0.25">
      <c r="A58" s="7">
        <v>214</v>
      </c>
      <c r="B58" s="3" t="s">
        <v>4</v>
      </c>
      <c r="C58" s="3" t="s">
        <v>125</v>
      </c>
      <c r="D58" s="20">
        <v>44.9</v>
      </c>
      <c r="E58" s="20">
        <v>0.42</v>
      </c>
      <c r="F58" s="20">
        <v>0.85</v>
      </c>
      <c r="G58" s="20">
        <v>7.0000000000000007E-2</v>
      </c>
      <c r="H58" s="20">
        <v>9.66</v>
      </c>
      <c r="I58" s="20">
        <v>0.12</v>
      </c>
      <c r="J58" s="20">
        <v>0.19</v>
      </c>
      <c r="K58" s="20">
        <v>0.03</v>
      </c>
      <c r="L58" s="20">
        <v>15</v>
      </c>
      <c r="M58" s="20">
        <v>0.1</v>
      </c>
      <c r="N58" s="20">
        <v>0.27</v>
      </c>
      <c r="O58" s="20">
        <v>0.01</v>
      </c>
      <c r="P58" s="20">
        <v>8.8000000000000007</v>
      </c>
      <c r="Q58" s="20">
        <v>0.11</v>
      </c>
      <c r="R58" s="20">
        <v>6.15</v>
      </c>
      <c r="S58" s="20">
        <v>0.05</v>
      </c>
      <c r="T58" s="20">
        <v>3.46</v>
      </c>
      <c r="U58" s="20">
        <v>0.21</v>
      </c>
      <c r="V58" s="20">
        <v>0.42</v>
      </c>
      <c r="W58" s="20">
        <v>0.06</v>
      </c>
      <c r="X58" s="20">
        <v>1.02</v>
      </c>
      <c r="Y58" s="20">
        <v>0.08</v>
      </c>
      <c r="Z58" s="20">
        <v>7.77</v>
      </c>
      <c r="AA58" s="20">
        <v>0.09</v>
      </c>
      <c r="AB58" s="20">
        <v>1.23</v>
      </c>
      <c r="AC58" s="20">
        <v>0.02</v>
      </c>
    </row>
    <row r="59" spans="1:29" x14ac:dyDescent="0.25">
      <c r="A59" s="7">
        <v>216</v>
      </c>
      <c r="B59" s="3" t="s">
        <v>5</v>
      </c>
      <c r="C59" s="3" t="s">
        <v>126</v>
      </c>
      <c r="D59" s="20">
        <v>43.4</v>
      </c>
      <c r="E59" s="20">
        <v>0.42</v>
      </c>
      <c r="F59" s="20">
        <v>0.75</v>
      </c>
      <c r="G59" s="20">
        <v>7.0000000000000007E-2</v>
      </c>
      <c r="H59" s="20">
        <v>9.34</v>
      </c>
      <c r="I59" s="20">
        <v>0.13</v>
      </c>
      <c r="J59" s="20">
        <v>0.18</v>
      </c>
      <c r="K59" s="20">
        <v>0.03</v>
      </c>
      <c r="L59" s="20">
        <v>14.3</v>
      </c>
      <c r="M59" s="20">
        <v>0.1</v>
      </c>
      <c r="N59" s="20">
        <v>0.27</v>
      </c>
      <c r="O59" s="20">
        <v>0.01</v>
      </c>
      <c r="P59" s="20">
        <v>10.79</v>
      </c>
      <c r="Q59" s="20">
        <v>0.14000000000000001</v>
      </c>
      <c r="R59" s="20">
        <v>5.86</v>
      </c>
      <c r="S59" s="20">
        <v>0.05</v>
      </c>
      <c r="T59" s="20">
        <v>3.55</v>
      </c>
      <c r="U59" s="20">
        <v>0.23</v>
      </c>
      <c r="V59" s="20">
        <v>0.35</v>
      </c>
      <c r="W59" s="20">
        <v>0.06</v>
      </c>
      <c r="X59" s="20">
        <v>1.1299999999999999</v>
      </c>
      <c r="Y59" s="20">
        <v>0.08</v>
      </c>
      <c r="Z59" s="20">
        <v>7.98</v>
      </c>
      <c r="AA59" s="20">
        <v>0.1</v>
      </c>
      <c r="AB59" s="20">
        <v>1.88</v>
      </c>
      <c r="AC59" s="20">
        <v>0.03</v>
      </c>
    </row>
    <row r="60" spans="1:29" x14ac:dyDescent="0.25">
      <c r="A60" s="7">
        <v>218</v>
      </c>
      <c r="B60" s="3" t="s">
        <v>6</v>
      </c>
      <c r="C60" s="3" t="s">
        <v>127</v>
      </c>
      <c r="D60" s="20">
        <v>42.2</v>
      </c>
      <c r="E60" s="20">
        <v>0.38</v>
      </c>
      <c r="F60" s="20">
        <v>0.84</v>
      </c>
      <c r="G60" s="20">
        <v>7.0000000000000007E-2</v>
      </c>
      <c r="H60" s="20">
        <v>8.9499999999999993</v>
      </c>
      <c r="I60" s="20">
        <v>0.1</v>
      </c>
      <c r="J60" s="20">
        <v>0.17</v>
      </c>
      <c r="K60" s="20">
        <v>0.03</v>
      </c>
      <c r="L60" s="20">
        <v>15.6</v>
      </c>
      <c r="M60" s="20">
        <v>0.08</v>
      </c>
      <c r="N60" s="20">
        <v>0.3</v>
      </c>
      <c r="O60" s="20">
        <v>0.01</v>
      </c>
      <c r="P60" s="20">
        <v>11.52</v>
      </c>
      <c r="Q60" s="20">
        <v>0.13</v>
      </c>
      <c r="R60" s="20">
        <v>6.04</v>
      </c>
      <c r="S60" s="20">
        <v>0.05</v>
      </c>
      <c r="T60" s="20">
        <v>3.64</v>
      </c>
      <c r="U60" s="20">
        <v>0.23</v>
      </c>
      <c r="V60" s="20">
        <v>0.35</v>
      </c>
      <c r="W60" s="20">
        <v>0.06</v>
      </c>
      <c r="X60" s="20">
        <v>1.05</v>
      </c>
      <c r="Y60" s="20">
        <v>0.08</v>
      </c>
      <c r="Z60" s="20">
        <v>7.53</v>
      </c>
      <c r="AA60" s="20">
        <v>0.1</v>
      </c>
      <c r="AB60" s="20">
        <v>1.63</v>
      </c>
      <c r="AC60" s="20">
        <v>0.03</v>
      </c>
    </row>
    <row r="61" spans="1:29" x14ac:dyDescent="0.25">
      <c r="A61" s="7">
        <v>225</v>
      </c>
      <c r="B61" s="3" t="s">
        <v>5</v>
      </c>
      <c r="C61" s="3" t="s">
        <v>128</v>
      </c>
      <c r="D61" s="20">
        <v>42.6</v>
      </c>
      <c r="E61" s="20">
        <v>0.52</v>
      </c>
      <c r="F61" s="20">
        <v>0.84</v>
      </c>
      <c r="G61" s="20">
        <v>0.14000000000000001</v>
      </c>
      <c r="H61" s="20">
        <v>8.85</v>
      </c>
      <c r="I61" s="20">
        <v>0.27</v>
      </c>
      <c r="J61" s="20">
        <v>0.18</v>
      </c>
      <c r="K61" s="20">
        <v>0.05</v>
      </c>
      <c r="L61" s="20">
        <v>14.9</v>
      </c>
      <c r="M61" s="20">
        <v>0.15</v>
      </c>
      <c r="N61" s="20">
        <v>0.23</v>
      </c>
      <c r="O61" s="20">
        <v>0.06</v>
      </c>
      <c r="P61" s="20">
        <v>11.46</v>
      </c>
      <c r="Q61" s="20">
        <v>0.3</v>
      </c>
      <c r="R61" s="20">
        <v>5.39</v>
      </c>
      <c r="S61" s="20">
        <v>0.09</v>
      </c>
      <c r="T61" s="20">
        <v>3.02</v>
      </c>
      <c r="U61" s="20">
        <v>1.1100000000000001</v>
      </c>
      <c r="V61" s="20">
        <v>0.45</v>
      </c>
      <c r="W61" s="20">
        <v>0.15</v>
      </c>
      <c r="X61" s="20">
        <v>0.81</v>
      </c>
      <c r="Y61" s="20">
        <v>0.36</v>
      </c>
      <c r="Z61" s="20">
        <v>9.2899999999999991</v>
      </c>
      <c r="AA61" s="20">
        <v>0.25</v>
      </c>
      <c r="AB61" s="20">
        <v>1.74</v>
      </c>
      <c r="AC61" s="20">
        <v>0.06</v>
      </c>
    </row>
    <row r="62" spans="1:29" x14ac:dyDescent="0.25">
      <c r="A62" s="7">
        <v>227</v>
      </c>
      <c r="B62" s="3" t="s">
        <v>3</v>
      </c>
      <c r="C62" s="20" t="s">
        <v>129</v>
      </c>
      <c r="D62" s="20">
        <v>45.7</v>
      </c>
      <c r="E62" s="20">
        <v>0.68</v>
      </c>
      <c r="F62" s="20">
        <v>0.84</v>
      </c>
      <c r="G62" s="20">
        <v>0.14000000000000001</v>
      </c>
      <c r="H62" s="20">
        <v>9.59</v>
      </c>
      <c r="I62" s="20">
        <v>0.26</v>
      </c>
      <c r="J62" s="20">
        <v>0.28000000000000003</v>
      </c>
      <c r="K62" s="20">
        <v>0.05</v>
      </c>
      <c r="L62" s="20">
        <v>16.3</v>
      </c>
      <c r="M62" s="20">
        <v>0.2</v>
      </c>
      <c r="N62" s="20">
        <v>0.31</v>
      </c>
      <c r="O62" s="20">
        <v>0.06</v>
      </c>
      <c r="P62" s="20">
        <v>8.42</v>
      </c>
      <c r="Q62" s="20">
        <v>0.26</v>
      </c>
      <c r="R62" s="20">
        <v>5.88</v>
      </c>
      <c r="S62" s="20">
        <v>0.1</v>
      </c>
      <c r="T62" s="20">
        <v>2.77</v>
      </c>
      <c r="U62" s="20">
        <v>0.9</v>
      </c>
      <c r="V62" s="20">
        <v>0.49</v>
      </c>
      <c r="W62" s="20">
        <v>0.15</v>
      </c>
      <c r="X62" s="20">
        <v>0.87</v>
      </c>
      <c r="Y62" s="20">
        <v>0.25</v>
      </c>
      <c r="Z62" s="20">
        <v>7.5</v>
      </c>
      <c r="AA62" s="20">
        <v>0.2</v>
      </c>
      <c r="AB62" s="20">
        <v>0.94</v>
      </c>
      <c r="AC62" s="20">
        <v>0.04</v>
      </c>
    </row>
    <row r="63" spans="1:29" x14ac:dyDescent="0.25">
      <c r="A63" s="7">
        <v>228</v>
      </c>
      <c r="B63" s="3" t="s">
        <v>4</v>
      </c>
      <c r="C63" s="3" t="s">
        <v>130</v>
      </c>
      <c r="D63" s="20">
        <v>47.4</v>
      </c>
      <c r="E63" s="20">
        <v>0.67</v>
      </c>
      <c r="F63" s="20">
        <v>0.79</v>
      </c>
      <c r="G63" s="20">
        <v>0.13</v>
      </c>
      <c r="H63" s="20">
        <v>10.71</v>
      </c>
      <c r="I63" s="20">
        <v>0.24</v>
      </c>
      <c r="J63" s="20">
        <v>0.14000000000000001</v>
      </c>
      <c r="K63" s="20">
        <v>0.04</v>
      </c>
      <c r="L63" s="20">
        <v>15.1</v>
      </c>
      <c r="M63" s="20">
        <v>0.18</v>
      </c>
      <c r="N63" s="20">
        <v>0.21</v>
      </c>
      <c r="O63" s="20">
        <v>0.04</v>
      </c>
      <c r="P63" s="20">
        <v>11.16</v>
      </c>
      <c r="Q63" s="20">
        <v>0.25</v>
      </c>
      <c r="R63" s="20">
        <v>4.24</v>
      </c>
      <c r="S63" s="20">
        <v>0.08</v>
      </c>
      <c r="T63" s="20">
        <v>2.87</v>
      </c>
      <c r="U63" s="20">
        <v>0.75</v>
      </c>
      <c r="V63" s="20">
        <v>0.36</v>
      </c>
      <c r="W63" s="20">
        <v>0.14000000000000001</v>
      </c>
      <c r="X63" s="20">
        <v>0.94</v>
      </c>
      <c r="Y63" s="20">
        <v>0.21</v>
      </c>
      <c r="Z63" s="20">
        <v>4.67</v>
      </c>
      <c r="AA63" s="20">
        <v>0.14000000000000001</v>
      </c>
      <c r="AB63" s="20">
        <v>1.33</v>
      </c>
      <c r="AC63" s="20">
        <v>0.05</v>
      </c>
    </row>
    <row r="64" spans="1:29" x14ac:dyDescent="0.25">
      <c r="A64" s="7">
        <v>229</v>
      </c>
      <c r="B64" s="3" t="s">
        <v>4</v>
      </c>
      <c r="C64" s="3" t="s">
        <v>131</v>
      </c>
      <c r="D64" s="20">
        <v>46.8</v>
      </c>
      <c r="E64" s="20">
        <v>0.42</v>
      </c>
      <c r="F64" s="20">
        <v>0.78</v>
      </c>
      <c r="G64" s="20">
        <v>0.06</v>
      </c>
      <c r="H64" s="20">
        <v>10.4</v>
      </c>
      <c r="I64" s="20">
        <v>0.12</v>
      </c>
      <c r="J64" s="20">
        <v>0.17</v>
      </c>
      <c r="K64" s="20">
        <v>0.03</v>
      </c>
      <c r="L64" s="20">
        <v>15.3</v>
      </c>
      <c r="M64" s="20">
        <v>0.1</v>
      </c>
      <c r="N64" s="20">
        <v>0.17</v>
      </c>
      <c r="O64" s="20">
        <v>0.01</v>
      </c>
      <c r="P64" s="20">
        <v>10.89</v>
      </c>
      <c r="Q64" s="20">
        <v>0.13</v>
      </c>
      <c r="R64" s="20">
        <v>4.3099999999999996</v>
      </c>
      <c r="S64" s="20">
        <v>0.04</v>
      </c>
      <c r="T64" s="20">
        <v>3.2</v>
      </c>
      <c r="U64" s="20">
        <v>0.2</v>
      </c>
      <c r="V64" s="20">
        <v>0.35</v>
      </c>
      <c r="W64" s="20">
        <v>0.06</v>
      </c>
      <c r="X64" s="20">
        <v>1</v>
      </c>
      <c r="Y64" s="20">
        <v>7.0000000000000007E-2</v>
      </c>
      <c r="Z64" s="20">
        <v>5.18</v>
      </c>
      <c r="AA64" s="20">
        <v>7.0000000000000007E-2</v>
      </c>
      <c r="AB64" s="20">
        <v>1.32</v>
      </c>
      <c r="AC64" s="20">
        <v>0.02</v>
      </c>
    </row>
    <row r="65" spans="1:29" x14ac:dyDescent="0.25">
      <c r="A65" s="7">
        <v>231</v>
      </c>
      <c r="B65" s="3" t="s">
        <v>5</v>
      </c>
      <c r="C65" s="3" t="s">
        <v>132</v>
      </c>
      <c r="D65" s="20">
        <v>47.5</v>
      </c>
      <c r="E65" s="20">
        <v>0.43</v>
      </c>
      <c r="F65" s="20">
        <v>0.76</v>
      </c>
      <c r="G65" s="20">
        <v>0.06</v>
      </c>
      <c r="H65" s="20">
        <v>9.93</v>
      </c>
      <c r="I65" s="20">
        <v>0.12</v>
      </c>
      <c r="J65" s="20">
        <v>0.16</v>
      </c>
      <c r="K65" s="20">
        <v>0.03</v>
      </c>
      <c r="L65" s="20">
        <v>15</v>
      </c>
      <c r="M65" s="20">
        <v>0.1</v>
      </c>
      <c r="N65" s="20">
        <v>0.15</v>
      </c>
      <c r="O65" s="20">
        <v>0.01</v>
      </c>
      <c r="P65" s="20">
        <v>13.57</v>
      </c>
      <c r="Q65" s="20">
        <v>0.15</v>
      </c>
      <c r="R65" s="20">
        <v>3.63</v>
      </c>
      <c r="S65" s="20">
        <v>0.03</v>
      </c>
      <c r="T65" s="20">
        <v>2.59</v>
      </c>
      <c r="U65" s="20">
        <v>0.21</v>
      </c>
      <c r="V65" s="20">
        <v>0.32</v>
      </c>
      <c r="W65" s="20">
        <v>0.06</v>
      </c>
      <c r="X65" s="20">
        <v>0.97</v>
      </c>
      <c r="Y65" s="20">
        <v>7.0000000000000007E-2</v>
      </c>
      <c r="Z65" s="20">
        <v>3.81</v>
      </c>
      <c r="AA65" s="20">
        <v>0.06</v>
      </c>
      <c r="AB65" s="20">
        <v>1.54</v>
      </c>
      <c r="AC65" s="20">
        <v>0.02</v>
      </c>
    </row>
    <row r="66" spans="1:29" x14ac:dyDescent="0.25">
      <c r="A66" s="7">
        <v>232</v>
      </c>
      <c r="B66" s="3" t="s">
        <v>6</v>
      </c>
      <c r="C66" s="3" t="s">
        <v>133</v>
      </c>
      <c r="D66" s="20">
        <v>47.4</v>
      </c>
      <c r="E66" s="20">
        <v>0.45</v>
      </c>
      <c r="F66" s="20">
        <v>0.79</v>
      </c>
      <c r="G66" s="20">
        <v>7.0000000000000007E-2</v>
      </c>
      <c r="H66" s="20">
        <v>9.2799999999999994</v>
      </c>
      <c r="I66" s="20">
        <v>0.13</v>
      </c>
      <c r="J66" s="20">
        <v>0.16</v>
      </c>
      <c r="K66" s="20">
        <v>0.03</v>
      </c>
      <c r="L66" s="20">
        <v>15.6</v>
      </c>
      <c r="M66" s="20">
        <v>0.11</v>
      </c>
      <c r="N66" s="20">
        <v>0.16</v>
      </c>
      <c r="O66" s="20">
        <v>0.01</v>
      </c>
      <c r="P66" s="20">
        <v>14.82</v>
      </c>
      <c r="Q66" s="20">
        <v>0.17</v>
      </c>
      <c r="R66" s="20">
        <v>3.44</v>
      </c>
      <c r="S66" s="20">
        <v>0.04</v>
      </c>
      <c r="T66" s="20">
        <v>2.3199999999999998</v>
      </c>
      <c r="U66" s="20">
        <v>0.22</v>
      </c>
      <c r="V66" s="20">
        <v>0.33</v>
      </c>
      <c r="W66" s="20">
        <v>0.06</v>
      </c>
      <c r="X66" s="20">
        <v>0.97</v>
      </c>
      <c r="Y66" s="20">
        <v>0.08</v>
      </c>
      <c r="Z66" s="20">
        <v>3.2</v>
      </c>
      <c r="AA66" s="20">
        <v>0.06</v>
      </c>
      <c r="AB66" s="20">
        <v>1.46</v>
      </c>
      <c r="AC66" s="20">
        <v>0.02</v>
      </c>
    </row>
    <row r="67" spans="1:29" x14ac:dyDescent="0.25">
      <c r="A67" s="7">
        <v>235</v>
      </c>
      <c r="B67" s="3" t="s">
        <v>134</v>
      </c>
      <c r="C67" s="3" t="s">
        <v>135</v>
      </c>
      <c r="D67" s="20">
        <v>45.3</v>
      </c>
      <c r="E67" s="20">
        <v>0.64</v>
      </c>
      <c r="F67" s="20">
        <v>0.9</v>
      </c>
      <c r="G67" s="20">
        <v>0.14000000000000001</v>
      </c>
      <c r="H67" s="20">
        <v>10.18</v>
      </c>
      <c r="I67" s="20">
        <v>0.24</v>
      </c>
      <c r="J67" s="20">
        <v>0.18</v>
      </c>
      <c r="K67" s="20">
        <v>0.05</v>
      </c>
      <c r="L67" s="20">
        <v>17.100000000000001</v>
      </c>
      <c r="M67" s="20">
        <v>0.2</v>
      </c>
      <c r="N67" s="20">
        <v>0.18</v>
      </c>
      <c r="O67" s="20">
        <v>0.04</v>
      </c>
      <c r="P67" s="20">
        <v>13.49</v>
      </c>
      <c r="Q67" s="20">
        <v>0.28000000000000003</v>
      </c>
      <c r="R67" s="20">
        <v>3.93</v>
      </c>
      <c r="S67" s="20">
        <v>0.08</v>
      </c>
      <c r="T67" s="20">
        <v>3.01</v>
      </c>
      <c r="U67" s="20">
        <v>0.81</v>
      </c>
      <c r="V67" s="20">
        <v>0.3</v>
      </c>
      <c r="W67" s="20">
        <v>0.13</v>
      </c>
      <c r="X67" s="20">
        <v>0.94</v>
      </c>
      <c r="Y67" s="20">
        <v>0.22</v>
      </c>
      <c r="Z67" s="20">
        <v>3.01</v>
      </c>
      <c r="AA67" s="20">
        <v>0.12</v>
      </c>
      <c r="AB67" s="20">
        <v>1.38</v>
      </c>
      <c r="AC67" s="20">
        <v>0.05</v>
      </c>
    </row>
    <row r="68" spans="1:29" x14ac:dyDescent="0.25">
      <c r="A68" s="7">
        <v>240</v>
      </c>
      <c r="B68" s="3" t="s">
        <v>3</v>
      </c>
      <c r="C68" s="20" t="s">
        <v>136</v>
      </c>
      <c r="D68" s="20">
        <v>45.8</v>
      </c>
      <c r="E68" s="20">
        <v>0.62</v>
      </c>
      <c r="F68" s="20">
        <v>0.82</v>
      </c>
      <c r="G68" s="20">
        <v>0.14000000000000001</v>
      </c>
      <c r="H68" s="20">
        <v>9.85</v>
      </c>
      <c r="I68" s="20">
        <v>0.23</v>
      </c>
      <c r="J68" s="20">
        <v>0.21</v>
      </c>
      <c r="K68" s="20">
        <v>0.05</v>
      </c>
      <c r="L68" s="20">
        <v>15.8</v>
      </c>
      <c r="M68" s="20">
        <v>0.19</v>
      </c>
      <c r="N68" s="20">
        <v>0.28999999999999998</v>
      </c>
      <c r="O68" s="20">
        <v>0.05</v>
      </c>
      <c r="P68" s="20">
        <v>8.39</v>
      </c>
      <c r="Q68" s="20">
        <v>0.25</v>
      </c>
      <c r="R68" s="20">
        <v>6.17</v>
      </c>
      <c r="S68" s="20">
        <v>0.11</v>
      </c>
      <c r="T68" s="20">
        <v>2.91</v>
      </c>
      <c r="U68" s="20">
        <v>0.85</v>
      </c>
      <c r="V68" s="20">
        <v>0.44</v>
      </c>
      <c r="W68" s="20">
        <v>0.15</v>
      </c>
      <c r="X68" s="20">
        <v>0.95</v>
      </c>
      <c r="Y68" s="20">
        <v>0.24</v>
      </c>
      <c r="Z68" s="20">
        <v>7.44</v>
      </c>
      <c r="AA68" s="20">
        <v>0.19</v>
      </c>
      <c r="AB68" s="20">
        <v>0.85</v>
      </c>
      <c r="AC68" s="20">
        <v>0.04</v>
      </c>
    </row>
    <row r="69" spans="1:29" x14ac:dyDescent="0.25">
      <c r="A69" s="7">
        <v>259</v>
      </c>
      <c r="B69" s="3" t="s">
        <v>8</v>
      </c>
      <c r="C69" s="20" t="s">
        <v>137</v>
      </c>
      <c r="D69" s="20">
        <v>46.4</v>
      </c>
      <c r="E69" s="20">
        <v>0.45</v>
      </c>
      <c r="F69" s="20">
        <v>0.84</v>
      </c>
      <c r="G69" s="20">
        <v>7.0000000000000007E-2</v>
      </c>
      <c r="H69" s="20">
        <v>10.130000000000001</v>
      </c>
      <c r="I69" s="20">
        <v>0.14000000000000001</v>
      </c>
      <c r="J69" s="20">
        <v>0.28999999999999998</v>
      </c>
      <c r="K69" s="20">
        <v>0.03</v>
      </c>
      <c r="L69" s="20">
        <v>15.3</v>
      </c>
      <c r="M69" s="20">
        <v>0.11</v>
      </c>
      <c r="N69" s="20">
        <v>0.3</v>
      </c>
      <c r="O69" s="20">
        <v>0.01</v>
      </c>
      <c r="P69" s="20">
        <v>8.42</v>
      </c>
      <c r="Q69" s="20">
        <v>0.12</v>
      </c>
      <c r="R69" s="20">
        <v>6.22</v>
      </c>
      <c r="S69" s="20">
        <v>0.05</v>
      </c>
      <c r="T69" s="20">
        <v>3.21</v>
      </c>
      <c r="U69" s="20">
        <v>0.23</v>
      </c>
      <c r="V69" s="20">
        <v>0.46</v>
      </c>
      <c r="W69" s="20">
        <v>0.06</v>
      </c>
      <c r="X69" s="20">
        <v>0.9</v>
      </c>
      <c r="Y69" s="20">
        <v>0.08</v>
      </c>
      <c r="Z69" s="20">
        <v>6.65</v>
      </c>
      <c r="AA69" s="20">
        <v>0.09</v>
      </c>
      <c r="AB69" s="20">
        <v>0.76</v>
      </c>
      <c r="AC69" s="20">
        <v>0.02</v>
      </c>
    </row>
    <row r="70" spans="1:29" x14ac:dyDescent="0.25">
      <c r="A70" s="7">
        <v>266</v>
      </c>
      <c r="B70" s="3" t="s">
        <v>4</v>
      </c>
      <c r="C70" s="3" t="s">
        <v>138</v>
      </c>
      <c r="D70" s="20">
        <v>45.3</v>
      </c>
      <c r="E70" s="20">
        <v>0.4</v>
      </c>
      <c r="F70" s="20">
        <v>0.85</v>
      </c>
      <c r="G70" s="20">
        <v>0.06</v>
      </c>
      <c r="H70" s="20">
        <v>9.4700000000000006</v>
      </c>
      <c r="I70" s="20">
        <v>0.11</v>
      </c>
      <c r="J70" s="20">
        <v>0.19</v>
      </c>
      <c r="K70" s="20">
        <v>0.03</v>
      </c>
      <c r="L70" s="20">
        <v>15.4</v>
      </c>
      <c r="M70" s="20">
        <v>0.1</v>
      </c>
      <c r="N70" s="20">
        <v>0.35</v>
      </c>
      <c r="O70" s="20">
        <v>0.01</v>
      </c>
      <c r="P70" s="20">
        <v>9.06</v>
      </c>
      <c r="Q70" s="20">
        <v>0.11</v>
      </c>
      <c r="R70" s="20">
        <v>5.75</v>
      </c>
      <c r="S70" s="20">
        <v>0.04</v>
      </c>
      <c r="T70" s="20">
        <v>3.27</v>
      </c>
      <c r="U70" s="20">
        <v>0.2</v>
      </c>
      <c r="V70" s="20">
        <v>0.41</v>
      </c>
      <c r="W70" s="20">
        <v>0.06</v>
      </c>
      <c r="X70" s="20">
        <v>0.98</v>
      </c>
      <c r="Y70" s="20">
        <v>7.0000000000000007E-2</v>
      </c>
      <c r="Z70" s="20">
        <v>7.37</v>
      </c>
      <c r="AA70" s="20">
        <v>0.08</v>
      </c>
      <c r="AB70" s="20">
        <v>1.33</v>
      </c>
      <c r="AC70" s="20">
        <v>0.02</v>
      </c>
    </row>
    <row r="71" spans="1:29" x14ac:dyDescent="0.25">
      <c r="A71" s="7">
        <v>274</v>
      </c>
      <c r="B71" s="3" t="s">
        <v>4</v>
      </c>
      <c r="C71" s="3" t="s">
        <v>139</v>
      </c>
      <c r="D71" s="20">
        <v>46.4</v>
      </c>
      <c r="E71" s="20">
        <v>0.4</v>
      </c>
      <c r="F71" s="20">
        <v>0.86</v>
      </c>
      <c r="G71" s="20">
        <v>7.0000000000000007E-2</v>
      </c>
      <c r="H71" s="20">
        <v>10.1</v>
      </c>
      <c r="I71" s="20">
        <v>0.11</v>
      </c>
      <c r="J71" s="20">
        <v>0.2</v>
      </c>
      <c r="K71" s="20">
        <v>0.03</v>
      </c>
      <c r="L71" s="20">
        <v>14.7</v>
      </c>
      <c r="M71" s="20">
        <v>0.08</v>
      </c>
      <c r="N71" s="20">
        <v>0.28000000000000003</v>
      </c>
      <c r="O71" s="20">
        <v>0.01</v>
      </c>
      <c r="P71" s="20">
        <v>9.49</v>
      </c>
      <c r="Q71" s="20">
        <v>0.11</v>
      </c>
      <c r="R71" s="20">
        <v>5.18</v>
      </c>
      <c r="S71" s="20">
        <v>0.04</v>
      </c>
      <c r="T71" s="20">
        <v>3.31</v>
      </c>
      <c r="U71" s="20">
        <v>0.22</v>
      </c>
      <c r="V71" s="20">
        <v>0.43</v>
      </c>
      <c r="W71" s="20">
        <v>0.06</v>
      </c>
      <c r="X71" s="20">
        <v>0.91</v>
      </c>
      <c r="Y71" s="20">
        <v>0.08</v>
      </c>
      <c r="Z71" s="20">
        <v>6.52</v>
      </c>
      <c r="AA71" s="20">
        <v>0.08</v>
      </c>
      <c r="AB71" s="20">
        <v>1.42</v>
      </c>
      <c r="AC71" s="20">
        <v>0.02</v>
      </c>
    </row>
    <row r="72" spans="1:29" x14ac:dyDescent="0.25">
      <c r="A72" s="7">
        <v>280</v>
      </c>
      <c r="B72" s="3" t="s">
        <v>8</v>
      </c>
      <c r="C72" s="20" t="s">
        <v>140</v>
      </c>
      <c r="D72" s="20">
        <v>45</v>
      </c>
      <c r="E72" s="20">
        <v>0.43</v>
      </c>
      <c r="F72" s="20">
        <v>0.88</v>
      </c>
      <c r="G72" s="20">
        <v>7.0000000000000007E-2</v>
      </c>
      <c r="H72" s="20">
        <v>9.8000000000000007</v>
      </c>
      <c r="I72" s="20">
        <v>0.12</v>
      </c>
      <c r="J72" s="20">
        <v>0.34</v>
      </c>
      <c r="K72" s="20">
        <v>0.03</v>
      </c>
      <c r="L72" s="20">
        <v>16.2</v>
      </c>
      <c r="M72" s="20">
        <v>0.11</v>
      </c>
      <c r="N72" s="20">
        <v>0.34</v>
      </c>
      <c r="O72" s="20">
        <v>0.01</v>
      </c>
      <c r="P72" s="20">
        <v>8.94</v>
      </c>
      <c r="Q72" s="20">
        <v>0.12</v>
      </c>
      <c r="R72" s="20">
        <v>6.36</v>
      </c>
      <c r="S72" s="20">
        <v>0.05</v>
      </c>
      <c r="T72" s="20">
        <v>3.17</v>
      </c>
      <c r="U72" s="20">
        <v>0.21</v>
      </c>
      <c r="V72" s="20">
        <v>0.42</v>
      </c>
      <c r="W72" s="20">
        <v>0.06</v>
      </c>
      <c r="X72" s="20">
        <v>1.02</v>
      </c>
      <c r="Y72" s="20">
        <v>0.08</v>
      </c>
      <c r="Z72" s="20">
        <v>6.48</v>
      </c>
      <c r="AA72" s="20">
        <v>0.08</v>
      </c>
      <c r="AB72" s="20">
        <v>0.87</v>
      </c>
      <c r="AC72" s="20">
        <v>0.02</v>
      </c>
    </row>
    <row r="73" spans="1:29" x14ac:dyDescent="0.25">
      <c r="A73" s="7">
        <v>284</v>
      </c>
      <c r="B73" s="3" t="s">
        <v>4</v>
      </c>
      <c r="C73" s="3" t="s">
        <v>141</v>
      </c>
      <c r="D73" s="20">
        <v>45.1</v>
      </c>
      <c r="E73" s="20">
        <v>0.43</v>
      </c>
      <c r="F73" s="20">
        <v>0.86</v>
      </c>
      <c r="G73" s="20">
        <v>7.0000000000000007E-2</v>
      </c>
      <c r="H73" s="20">
        <v>9.74</v>
      </c>
      <c r="I73" s="20">
        <v>0.12</v>
      </c>
      <c r="J73" s="20">
        <v>0.19</v>
      </c>
      <c r="K73" s="20">
        <v>0.03</v>
      </c>
      <c r="L73" s="20">
        <v>15.2</v>
      </c>
      <c r="M73" s="20">
        <v>0.11</v>
      </c>
      <c r="N73" s="20">
        <v>0.3</v>
      </c>
      <c r="O73" s="20">
        <v>0.01</v>
      </c>
      <c r="P73" s="20">
        <v>9.14</v>
      </c>
      <c r="Q73" s="20">
        <v>0.12</v>
      </c>
      <c r="R73" s="20">
        <v>5.9</v>
      </c>
      <c r="S73" s="20">
        <v>0.05</v>
      </c>
      <c r="T73" s="20">
        <v>3.21</v>
      </c>
      <c r="U73" s="20">
        <v>0.22</v>
      </c>
      <c r="V73" s="20">
        <v>0.43</v>
      </c>
      <c r="W73" s="20">
        <v>0.06</v>
      </c>
      <c r="X73" s="20">
        <v>0.98</v>
      </c>
      <c r="Y73" s="20">
        <v>0.08</v>
      </c>
      <c r="Z73" s="20">
        <v>7.38</v>
      </c>
      <c r="AA73" s="20">
        <v>0.09</v>
      </c>
      <c r="AB73" s="20">
        <v>1.32</v>
      </c>
      <c r="AC73" s="20">
        <v>0.02</v>
      </c>
    </row>
    <row r="74" spans="1:29" x14ac:dyDescent="0.25">
      <c r="A74" s="7">
        <v>287</v>
      </c>
      <c r="B74" s="3" t="s">
        <v>6</v>
      </c>
      <c r="C74" s="3" t="s">
        <v>142</v>
      </c>
      <c r="D74" s="20">
        <v>45.6</v>
      </c>
      <c r="E74" s="20">
        <v>0.35</v>
      </c>
      <c r="F74" s="20">
        <v>0.8</v>
      </c>
      <c r="G74" s="20">
        <v>0.06</v>
      </c>
      <c r="H74" s="20">
        <v>9.52</v>
      </c>
      <c r="I74" s="20">
        <v>0.1</v>
      </c>
      <c r="J74" s="20">
        <v>0.15</v>
      </c>
      <c r="K74" s="20">
        <v>0.03</v>
      </c>
      <c r="L74" s="20">
        <v>13.9</v>
      </c>
      <c r="M74" s="20">
        <v>0.06</v>
      </c>
      <c r="N74" s="20">
        <v>0.25</v>
      </c>
      <c r="O74" s="20">
        <v>0.01</v>
      </c>
      <c r="P74" s="20">
        <v>14.28</v>
      </c>
      <c r="Q74" s="20">
        <v>0.13</v>
      </c>
      <c r="R74" s="20">
        <v>4.4800000000000004</v>
      </c>
      <c r="S74" s="20">
        <v>0.03</v>
      </c>
      <c r="T74" s="20">
        <v>2.44</v>
      </c>
      <c r="U74" s="20">
        <v>0.2</v>
      </c>
      <c r="V74" s="20">
        <v>0.35</v>
      </c>
      <c r="W74" s="20">
        <v>0.06</v>
      </c>
      <c r="X74" s="20">
        <v>0.94</v>
      </c>
      <c r="Y74" s="20">
        <v>7.0000000000000007E-2</v>
      </c>
      <c r="Z74" s="20">
        <v>5.26</v>
      </c>
      <c r="AA74" s="20">
        <v>0.06</v>
      </c>
      <c r="AB74" s="20">
        <v>1.85</v>
      </c>
      <c r="AC74" s="20">
        <v>0.02</v>
      </c>
    </row>
    <row r="75" spans="1:29" x14ac:dyDescent="0.25">
      <c r="A75" s="7">
        <v>291</v>
      </c>
      <c r="B75" s="3" t="s">
        <v>5</v>
      </c>
      <c r="C75" s="3" t="s">
        <v>143</v>
      </c>
      <c r="D75" s="20">
        <v>45.4</v>
      </c>
      <c r="E75" s="20">
        <v>0.42</v>
      </c>
      <c r="F75" s="20">
        <v>0.8</v>
      </c>
      <c r="G75" s="20">
        <v>7.0000000000000007E-2</v>
      </c>
      <c r="H75" s="20">
        <v>9.9600000000000009</v>
      </c>
      <c r="I75" s="20">
        <v>0.12</v>
      </c>
      <c r="J75" s="20">
        <v>0.16</v>
      </c>
      <c r="K75" s="20">
        <v>0.03</v>
      </c>
      <c r="L75" s="20">
        <v>13.9</v>
      </c>
      <c r="M75" s="20">
        <v>0.1</v>
      </c>
      <c r="N75" s="20">
        <v>0.23</v>
      </c>
      <c r="O75" s="20">
        <v>0.01</v>
      </c>
      <c r="P75" s="20">
        <v>12.14</v>
      </c>
      <c r="Q75" s="20">
        <v>0.14000000000000001</v>
      </c>
      <c r="R75" s="20">
        <v>4.3899999999999997</v>
      </c>
      <c r="S75" s="20">
        <v>0.04</v>
      </c>
      <c r="T75" s="20">
        <v>2.82</v>
      </c>
      <c r="U75" s="20">
        <v>0.22</v>
      </c>
      <c r="V75" s="20">
        <v>0.4</v>
      </c>
      <c r="W75" s="20">
        <v>0.06</v>
      </c>
      <c r="X75" s="20">
        <v>1.04</v>
      </c>
      <c r="Y75" s="20">
        <v>0.08</v>
      </c>
      <c r="Z75" s="20">
        <v>5.92</v>
      </c>
      <c r="AA75" s="20">
        <v>0.08</v>
      </c>
      <c r="AB75" s="20">
        <v>2.62</v>
      </c>
      <c r="AC75" s="20">
        <v>0.03</v>
      </c>
    </row>
    <row r="76" spans="1:29" x14ac:dyDescent="0.25">
      <c r="A76" s="7">
        <v>300</v>
      </c>
      <c r="B76" s="3" t="s">
        <v>5</v>
      </c>
      <c r="C76" s="3" t="s">
        <v>144</v>
      </c>
      <c r="D76" s="20">
        <v>46</v>
      </c>
      <c r="E76" s="20">
        <v>0.41</v>
      </c>
      <c r="F76" s="20">
        <v>0.8</v>
      </c>
      <c r="G76" s="20">
        <v>0.06</v>
      </c>
      <c r="H76" s="20">
        <v>10.29</v>
      </c>
      <c r="I76" s="20">
        <v>0.12</v>
      </c>
      <c r="J76" s="20">
        <v>0.16</v>
      </c>
      <c r="K76" s="20">
        <v>0.03</v>
      </c>
      <c r="L76" s="20">
        <v>14.2</v>
      </c>
      <c r="M76" s="20">
        <v>0.09</v>
      </c>
      <c r="N76" s="20">
        <v>0.17</v>
      </c>
      <c r="O76" s="20">
        <v>0.01</v>
      </c>
      <c r="P76" s="20">
        <v>14.34</v>
      </c>
      <c r="Q76" s="20">
        <v>0.15</v>
      </c>
      <c r="R76" s="20">
        <v>4.59</v>
      </c>
      <c r="S76" s="20">
        <v>0.04</v>
      </c>
      <c r="T76" s="20">
        <v>2.56</v>
      </c>
      <c r="U76" s="20">
        <v>0.2</v>
      </c>
      <c r="V76" s="20">
        <v>0.28999999999999998</v>
      </c>
      <c r="W76" s="20">
        <v>0.06</v>
      </c>
      <c r="X76" s="20">
        <v>0.95</v>
      </c>
      <c r="Y76" s="20">
        <v>7.0000000000000007E-2</v>
      </c>
      <c r="Z76" s="20">
        <v>3.44</v>
      </c>
      <c r="AA76" s="20">
        <v>0.05</v>
      </c>
      <c r="AB76" s="20">
        <v>2.02</v>
      </c>
      <c r="AC76" s="20">
        <v>0.02</v>
      </c>
    </row>
    <row r="77" spans="1:29" x14ac:dyDescent="0.25">
      <c r="A77" s="7">
        <v>304</v>
      </c>
      <c r="B77" s="3" t="s">
        <v>5</v>
      </c>
      <c r="C77" s="3" t="s">
        <v>145</v>
      </c>
      <c r="D77" s="20">
        <v>45.5</v>
      </c>
      <c r="E77" s="20">
        <v>0.43</v>
      </c>
      <c r="F77" s="20">
        <v>0.78</v>
      </c>
      <c r="G77" s="20">
        <v>7.0000000000000007E-2</v>
      </c>
      <c r="H77" s="20">
        <v>10.17</v>
      </c>
      <c r="I77" s="20">
        <v>0.13</v>
      </c>
      <c r="J77" s="20">
        <v>0.16</v>
      </c>
      <c r="K77" s="20">
        <v>0.03</v>
      </c>
      <c r="L77" s="20">
        <v>14.1</v>
      </c>
      <c r="M77" s="20">
        <v>0.1</v>
      </c>
      <c r="N77" s="20">
        <v>0.18</v>
      </c>
      <c r="O77" s="20">
        <v>0.01</v>
      </c>
      <c r="P77" s="20">
        <v>15.12</v>
      </c>
      <c r="Q77" s="20">
        <v>0.17</v>
      </c>
      <c r="R77" s="20">
        <v>4.62</v>
      </c>
      <c r="S77" s="20">
        <v>0.04</v>
      </c>
      <c r="T77" s="20">
        <v>2.4500000000000002</v>
      </c>
      <c r="U77" s="20">
        <v>0.22</v>
      </c>
      <c r="V77" s="20">
        <v>0.24</v>
      </c>
      <c r="W77" s="20">
        <v>0.06</v>
      </c>
      <c r="X77" s="20">
        <v>1.04</v>
      </c>
      <c r="Y77" s="20">
        <v>0.08</v>
      </c>
      <c r="Z77" s="20">
        <v>3.05</v>
      </c>
      <c r="AA77" s="20">
        <v>0.05</v>
      </c>
      <c r="AB77" s="20">
        <v>2.4700000000000002</v>
      </c>
      <c r="AC77" s="20">
        <v>0.03</v>
      </c>
    </row>
    <row r="78" spans="1:29" x14ac:dyDescent="0.25">
      <c r="A78" s="7">
        <v>315</v>
      </c>
      <c r="B78" s="3" t="s">
        <v>8</v>
      </c>
      <c r="C78" s="20" t="s">
        <v>146</v>
      </c>
      <c r="D78" s="20">
        <v>46.9</v>
      </c>
      <c r="E78" s="20">
        <v>0.5</v>
      </c>
      <c r="F78" s="20">
        <v>0.84</v>
      </c>
      <c r="G78" s="20">
        <v>7.0000000000000007E-2</v>
      </c>
      <c r="H78" s="20">
        <v>10.31</v>
      </c>
      <c r="I78" s="20">
        <v>0.16</v>
      </c>
      <c r="J78" s="20">
        <v>0.31</v>
      </c>
      <c r="K78" s="20">
        <v>0.04</v>
      </c>
      <c r="L78" s="20">
        <v>15.1</v>
      </c>
      <c r="M78" s="20">
        <v>0.12</v>
      </c>
      <c r="N78" s="20">
        <v>0.32</v>
      </c>
      <c r="O78" s="20">
        <v>0.01</v>
      </c>
      <c r="P78" s="20">
        <v>8.68</v>
      </c>
      <c r="Q78" s="20">
        <v>0.16</v>
      </c>
      <c r="R78" s="20">
        <v>6.24</v>
      </c>
      <c r="S78" s="20">
        <v>0.06</v>
      </c>
      <c r="T78" s="20">
        <v>3.37</v>
      </c>
      <c r="U78" s="20">
        <v>0.31</v>
      </c>
      <c r="V78" s="20">
        <v>0.43</v>
      </c>
      <c r="W78" s="20">
        <v>0.06</v>
      </c>
      <c r="X78" s="20">
        <v>0.88</v>
      </c>
      <c r="Y78" s="20">
        <v>0.08</v>
      </c>
      <c r="Z78" s="20">
        <v>5.82</v>
      </c>
      <c r="AA78" s="20">
        <v>0.09</v>
      </c>
      <c r="AB78" s="20">
        <v>0.68</v>
      </c>
      <c r="AC78" s="20">
        <v>0.02</v>
      </c>
    </row>
    <row r="79" spans="1:29" x14ac:dyDescent="0.25">
      <c r="A79" s="7">
        <v>334</v>
      </c>
      <c r="B79" s="3" t="s">
        <v>5</v>
      </c>
      <c r="C79" s="3" t="s">
        <v>147</v>
      </c>
      <c r="D79" s="20">
        <v>46.3</v>
      </c>
      <c r="E79" s="20">
        <v>0.49</v>
      </c>
      <c r="F79" s="20">
        <v>2.16</v>
      </c>
      <c r="G79" s="20">
        <v>0.09</v>
      </c>
      <c r="H79" s="20">
        <v>15.64</v>
      </c>
      <c r="I79" s="20">
        <v>0.24</v>
      </c>
      <c r="J79" s="20">
        <v>0.01</v>
      </c>
      <c r="K79" s="20">
        <v>0.03</v>
      </c>
      <c r="L79" s="20">
        <v>11.5</v>
      </c>
      <c r="M79" s="20">
        <v>0.1</v>
      </c>
      <c r="N79" s="20">
        <v>0.22</v>
      </c>
      <c r="O79" s="20">
        <v>0.01</v>
      </c>
      <c r="P79" s="20">
        <v>4.9400000000000004</v>
      </c>
      <c r="Q79" s="20">
        <v>0.14000000000000001</v>
      </c>
      <c r="R79" s="20">
        <v>6.86</v>
      </c>
      <c r="S79" s="20">
        <v>7.0000000000000007E-2</v>
      </c>
      <c r="T79" s="20">
        <v>5.12</v>
      </c>
      <c r="U79" s="20">
        <v>0.28000000000000003</v>
      </c>
      <c r="V79" s="20">
        <v>0.54</v>
      </c>
      <c r="W79" s="20">
        <v>0.06</v>
      </c>
      <c r="X79" s="20">
        <v>2.63</v>
      </c>
      <c r="Y79" s="20">
        <v>0.11</v>
      </c>
      <c r="Z79" s="20">
        <v>3.47</v>
      </c>
      <c r="AA79" s="20">
        <v>7.0000000000000007E-2</v>
      </c>
      <c r="AB79" s="20">
        <v>0.59</v>
      </c>
      <c r="AC79" s="20">
        <v>0.02</v>
      </c>
    </row>
    <row r="80" spans="1:29" x14ac:dyDescent="0.25">
      <c r="A80" s="7">
        <v>335</v>
      </c>
      <c r="B80" s="3" t="s">
        <v>6</v>
      </c>
      <c r="C80" s="3" t="s">
        <v>148</v>
      </c>
      <c r="D80" s="20">
        <v>43.8</v>
      </c>
      <c r="E80" s="20">
        <v>0.44</v>
      </c>
      <c r="F80" s="20">
        <v>2.59</v>
      </c>
      <c r="G80" s="20">
        <v>0.1</v>
      </c>
      <c r="H80" s="20">
        <v>15.03</v>
      </c>
      <c r="I80" s="20">
        <v>0.17</v>
      </c>
      <c r="J80" s="20">
        <v>0</v>
      </c>
      <c r="K80" s="20">
        <v>0.02</v>
      </c>
      <c r="L80" s="20">
        <v>11.6</v>
      </c>
      <c r="M80" s="20">
        <v>0.1</v>
      </c>
      <c r="N80" s="20">
        <v>0.22</v>
      </c>
      <c r="O80" s="20">
        <v>0.01</v>
      </c>
      <c r="P80" s="20">
        <v>4.5</v>
      </c>
      <c r="Q80" s="20">
        <v>0.1</v>
      </c>
      <c r="R80" s="20">
        <v>8.89</v>
      </c>
      <c r="S80" s="20">
        <v>7.0000000000000007E-2</v>
      </c>
      <c r="T80" s="20">
        <v>4.9800000000000004</v>
      </c>
      <c r="U80" s="20">
        <v>0.25</v>
      </c>
      <c r="V80" s="20">
        <v>0.56999999999999995</v>
      </c>
      <c r="W80" s="20">
        <v>0.06</v>
      </c>
      <c r="X80" s="20">
        <v>5.19</v>
      </c>
      <c r="Y80" s="20">
        <v>0.13</v>
      </c>
      <c r="Z80" s="20">
        <v>2.2000000000000002</v>
      </c>
      <c r="AA80" s="20">
        <v>0.05</v>
      </c>
      <c r="AB80" s="20">
        <v>0.35</v>
      </c>
      <c r="AC80" s="20">
        <v>0.01</v>
      </c>
    </row>
    <row r="81" spans="1:29" x14ac:dyDescent="0.25">
      <c r="A81" s="7">
        <v>342</v>
      </c>
      <c r="B81" s="3" t="s">
        <v>8</v>
      </c>
      <c r="C81" s="20" t="s">
        <v>149</v>
      </c>
      <c r="D81" s="20">
        <v>46.7</v>
      </c>
      <c r="E81" s="20">
        <v>0.46</v>
      </c>
      <c r="F81" s="20">
        <v>0.7</v>
      </c>
      <c r="G81" s="20">
        <v>7.0000000000000007E-2</v>
      </c>
      <c r="H81" s="20">
        <v>10.63</v>
      </c>
      <c r="I81" s="20">
        <v>0.14000000000000001</v>
      </c>
      <c r="J81" s="20">
        <v>0.33</v>
      </c>
      <c r="K81" s="20">
        <v>0.03</v>
      </c>
      <c r="L81" s="20">
        <v>15.5</v>
      </c>
      <c r="M81" s="20">
        <v>0.12</v>
      </c>
      <c r="N81" s="20">
        <v>0.31</v>
      </c>
      <c r="O81" s="20">
        <v>0.01</v>
      </c>
      <c r="P81" s="20">
        <v>9.42</v>
      </c>
      <c r="Q81" s="20">
        <v>0.13</v>
      </c>
      <c r="R81" s="20">
        <v>6.2</v>
      </c>
      <c r="S81" s="20">
        <v>0.06</v>
      </c>
      <c r="T81" s="20">
        <v>3.45</v>
      </c>
      <c r="U81" s="20">
        <v>0.23</v>
      </c>
      <c r="V81" s="20">
        <v>0.4</v>
      </c>
      <c r="W81" s="20">
        <v>0.06</v>
      </c>
      <c r="X81" s="20">
        <v>0.84</v>
      </c>
      <c r="Y81" s="20">
        <v>0.08</v>
      </c>
      <c r="Z81" s="20">
        <v>4.8</v>
      </c>
      <c r="AA81" s="20">
        <v>0.08</v>
      </c>
      <c r="AB81" s="20">
        <v>0.56999999999999995</v>
      </c>
      <c r="AC81" s="20">
        <v>0.01</v>
      </c>
    </row>
    <row r="82" spans="1:29" x14ac:dyDescent="0.25">
      <c r="A82" s="7">
        <v>349</v>
      </c>
      <c r="B82" s="3" t="s">
        <v>4</v>
      </c>
      <c r="C82" s="3" t="s">
        <v>150</v>
      </c>
      <c r="D82" s="20">
        <v>47</v>
      </c>
      <c r="E82" s="20">
        <v>0.52</v>
      </c>
      <c r="F82" s="20">
        <v>1.86</v>
      </c>
      <c r="G82" s="20">
        <v>0.1</v>
      </c>
      <c r="H82" s="20">
        <v>14.68</v>
      </c>
      <c r="I82" s="20">
        <v>0.21</v>
      </c>
      <c r="J82" s="20">
        <v>0.03</v>
      </c>
      <c r="K82" s="20">
        <v>0.03</v>
      </c>
      <c r="L82" s="20">
        <v>12.2</v>
      </c>
      <c r="M82" s="20">
        <v>0.11</v>
      </c>
      <c r="N82" s="20">
        <v>0.25</v>
      </c>
      <c r="O82" s="20">
        <v>0.01</v>
      </c>
      <c r="P82" s="20">
        <v>5.64</v>
      </c>
      <c r="Q82" s="20">
        <v>0.13</v>
      </c>
      <c r="R82" s="20">
        <v>6.62</v>
      </c>
      <c r="S82" s="20">
        <v>7.0000000000000007E-2</v>
      </c>
      <c r="T82" s="20">
        <v>4.4800000000000004</v>
      </c>
      <c r="U82" s="20">
        <v>0.28999999999999998</v>
      </c>
      <c r="V82" s="20">
        <v>0.56000000000000005</v>
      </c>
      <c r="W82" s="20">
        <v>0.06</v>
      </c>
      <c r="X82" s="20">
        <v>1.74</v>
      </c>
      <c r="Y82" s="20">
        <v>0.1</v>
      </c>
      <c r="Z82" s="20">
        <v>4.0999999999999996</v>
      </c>
      <c r="AA82" s="20">
        <v>0.09</v>
      </c>
      <c r="AB82" s="20">
        <v>0.71</v>
      </c>
      <c r="AC82" s="20">
        <v>0.02</v>
      </c>
    </row>
    <row r="83" spans="1:29" x14ac:dyDescent="0.25">
      <c r="A83" s="7">
        <v>353</v>
      </c>
      <c r="B83" s="3" t="s">
        <v>4</v>
      </c>
      <c r="C83" s="3" t="s">
        <v>151</v>
      </c>
      <c r="D83" s="20">
        <v>46.4</v>
      </c>
      <c r="E83" s="20">
        <v>0.36</v>
      </c>
      <c r="F83" s="20">
        <v>1.97</v>
      </c>
      <c r="G83" s="20">
        <v>0.09</v>
      </c>
      <c r="H83" s="20">
        <v>13.48</v>
      </c>
      <c r="I83" s="20">
        <v>0.15</v>
      </c>
      <c r="J83" s="20">
        <v>0.04</v>
      </c>
      <c r="K83" s="20">
        <v>0.03</v>
      </c>
      <c r="L83" s="20">
        <v>13.3</v>
      </c>
      <c r="M83" s="20">
        <v>0.08</v>
      </c>
      <c r="N83" s="20">
        <v>0.25</v>
      </c>
      <c r="O83" s="20">
        <v>0.01</v>
      </c>
      <c r="P83" s="20">
        <v>6.15</v>
      </c>
      <c r="Q83" s="20">
        <v>0.1</v>
      </c>
      <c r="R83" s="20">
        <v>6.67</v>
      </c>
      <c r="S83" s="20">
        <v>0.06</v>
      </c>
      <c r="T83" s="20">
        <v>4.2</v>
      </c>
      <c r="U83" s="20">
        <v>0.23</v>
      </c>
      <c r="V83" s="20">
        <v>0.53</v>
      </c>
      <c r="W83" s="20">
        <v>0.06</v>
      </c>
      <c r="X83" s="20">
        <v>1.79</v>
      </c>
      <c r="Y83" s="20">
        <v>0.09</v>
      </c>
      <c r="Z83" s="20">
        <v>4.4000000000000004</v>
      </c>
      <c r="AA83" s="20">
        <v>0.08</v>
      </c>
      <c r="AB83" s="20">
        <v>0.72</v>
      </c>
      <c r="AC83" s="20">
        <v>0.02</v>
      </c>
    </row>
    <row r="84" spans="1:29" x14ac:dyDescent="0.25">
      <c r="A84" s="7">
        <v>355</v>
      </c>
      <c r="B84" s="3" t="s">
        <v>5</v>
      </c>
      <c r="C84" s="3" t="s">
        <v>152</v>
      </c>
      <c r="D84" s="20">
        <v>45.8</v>
      </c>
      <c r="E84" s="20">
        <v>0.38</v>
      </c>
      <c r="F84" s="20">
        <v>2.84</v>
      </c>
      <c r="G84" s="20">
        <v>0.08</v>
      </c>
      <c r="H84" s="20">
        <v>15.75</v>
      </c>
      <c r="I84" s="20">
        <v>0.15</v>
      </c>
      <c r="J84" s="20">
        <v>0</v>
      </c>
      <c r="K84" s="20">
        <v>0.02</v>
      </c>
      <c r="L84" s="20">
        <v>12.6</v>
      </c>
      <c r="M84" s="20">
        <v>0.08</v>
      </c>
      <c r="N84" s="20">
        <v>0.22</v>
      </c>
      <c r="O84" s="20">
        <v>0.01</v>
      </c>
      <c r="P84" s="20">
        <v>4.5599999999999996</v>
      </c>
      <c r="Q84" s="20">
        <v>7.0000000000000007E-2</v>
      </c>
      <c r="R84" s="20">
        <v>6.59</v>
      </c>
      <c r="S84" s="20">
        <v>0.04</v>
      </c>
      <c r="T84" s="20">
        <v>5.3</v>
      </c>
      <c r="U84" s="20">
        <v>0.21</v>
      </c>
      <c r="V84" s="20">
        <v>0.51</v>
      </c>
      <c r="W84" s="20">
        <v>0.06</v>
      </c>
      <c r="X84" s="20">
        <v>2.64</v>
      </c>
      <c r="Y84" s="20">
        <v>0.08</v>
      </c>
      <c r="Z84" s="20">
        <v>2.5</v>
      </c>
      <c r="AA84" s="20">
        <v>0.04</v>
      </c>
      <c r="AB84" s="20">
        <v>0.62</v>
      </c>
      <c r="AC84" s="20">
        <v>0.01</v>
      </c>
    </row>
    <row r="85" spans="1:29" x14ac:dyDescent="0.25">
      <c r="A85" s="7">
        <v>356</v>
      </c>
      <c r="B85" s="3" t="s">
        <v>93</v>
      </c>
      <c r="C85" s="3" t="s">
        <v>153</v>
      </c>
      <c r="D85" s="20">
        <v>43.4</v>
      </c>
      <c r="E85" s="20">
        <v>0.42</v>
      </c>
      <c r="F85" s="20">
        <v>2.99</v>
      </c>
      <c r="G85" s="20">
        <v>0.1</v>
      </c>
      <c r="H85" s="20">
        <v>14.86</v>
      </c>
      <c r="I85" s="20">
        <v>0.17</v>
      </c>
      <c r="J85" s="20">
        <v>0</v>
      </c>
      <c r="K85" s="20">
        <v>0.02</v>
      </c>
      <c r="L85" s="20">
        <v>12.5</v>
      </c>
      <c r="M85" s="20">
        <v>0.09</v>
      </c>
      <c r="N85" s="20">
        <v>0.24</v>
      </c>
      <c r="O85" s="20">
        <v>0.01</v>
      </c>
      <c r="P85" s="20">
        <v>3.94</v>
      </c>
      <c r="Q85" s="20">
        <v>0.09</v>
      </c>
      <c r="R85" s="20">
        <v>8.7799999999999994</v>
      </c>
      <c r="S85" s="20">
        <v>7.0000000000000007E-2</v>
      </c>
      <c r="T85" s="20">
        <v>5.04</v>
      </c>
      <c r="U85" s="20">
        <v>0.25</v>
      </c>
      <c r="V85" s="20">
        <v>0.53</v>
      </c>
      <c r="W85" s="20">
        <v>0.06</v>
      </c>
      <c r="X85" s="20">
        <v>5.07</v>
      </c>
      <c r="Y85" s="20">
        <v>0.12</v>
      </c>
      <c r="Z85" s="20">
        <v>1.94</v>
      </c>
      <c r="AA85" s="20">
        <v>0.04</v>
      </c>
      <c r="AB85" s="20">
        <v>0.6</v>
      </c>
      <c r="AC85" s="20">
        <v>0.01</v>
      </c>
    </row>
    <row r="86" spans="1:29" x14ac:dyDescent="0.25">
      <c r="A86" s="7">
        <v>357</v>
      </c>
      <c r="B86" s="3" t="s">
        <v>94</v>
      </c>
      <c r="C86" s="3" t="s">
        <v>154</v>
      </c>
      <c r="D86" s="20">
        <v>43.5</v>
      </c>
      <c r="E86" s="20">
        <v>0.32</v>
      </c>
      <c r="F86" s="20">
        <v>2.96</v>
      </c>
      <c r="G86" s="20">
        <v>0.09</v>
      </c>
      <c r="H86" s="20">
        <v>14.83</v>
      </c>
      <c r="I86" s="20">
        <v>0.14000000000000001</v>
      </c>
      <c r="J86" s="20">
        <v>0</v>
      </c>
      <c r="K86" s="20">
        <v>0.02</v>
      </c>
      <c r="L86" s="20">
        <v>12.5</v>
      </c>
      <c r="M86" s="20">
        <v>0.08</v>
      </c>
      <c r="N86" s="20">
        <v>0.25</v>
      </c>
      <c r="O86" s="20">
        <v>0.01</v>
      </c>
      <c r="P86" s="20">
        <v>3.98</v>
      </c>
      <c r="Q86" s="20">
        <v>0.08</v>
      </c>
      <c r="R86" s="20">
        <v>8.75</v>
      </c>
      <c r="S86" s="20">
        <v>0.06</v>
      </c>
      <c r="T86" s="20">
        <v>5.0199999999999996</v>
      </c>
      <c r="U86" s="20">
        <v>0.23</v>
      </c>
      <c r="V86" s="20">
        <v>0.53</v>
      </c>
      <c r="W86" s="20">
        <v>0.06</v>
      </c>
      <c r="X86" s="20">
        <v>5.05</v>
      </c>
      <c r="Y86" s="20">
        <v>0.11</v>
      </c>
      <c r="Z86" s="20">
        <v>1.96</v>
      </c>
      <c r="AA86" s="20">
        <v>0.04</v>
      </c>
      <c r="AB86" s="20">
        <v>0.6</v>
      </c>
      <c r="AC86" s="20">
        <v>0.01</v>
      </c>
    </row>
    <row r="87" spans="1:29" x14ac:dyDescent="0.25">
      <c r="A87" s="7">
        <v>374</v>
      </c>
      <c r="B87" s="3" t="s">
        <v>5</v>
      </c>
      <c r="C87" s="3" t="s">
        <v>155</v>
      </c>
      <c r="D87" s="20">
        <v>41.6</v>
      </c>
      <c r="E87" s="20">
        <v>0.32</v>
      </c>
      <c r="F87" s="20">
        <v>0.71</v>
      </c>
      <c r="G87" s="20">
        <v>7.0000000000000007E-2</v>
      </c>
      <c r="H87" s="20">
        <v>6.29</v>
      </c>
      <c r="I87" s="20">
        <v>0.08</v>
      </c>
      <c r="J87" s="20">
        <v>0.56999999999999995</v>
      </c>
      <c r="K87" s="20">
        <v>0.04</v>
      </c>
      <c r="L87" s="20">
        <v>19.100000000000001</v>
      </c>
      <c r="M87" s="20">
        <v>0.09</v>
      </c>
      <c r="N87" s="20">
        <v>0.41</v>
      </c>
      <c r="O87" s="20">
        <v>0.01</v>
      </c>
      <c r="P87" s="20">
        <v>14.2</v>
      </c>
      <c r="Q87" s="20">
        <v>0.14000000000000001</v>
      </c>
      <c r="R87" s="20">
        <v>4.8499999999999996</v>
      </c>
      <c r="S87" s="20">
        <v>0.04</v>
      </c>
      <c r="T87" s="20">
        <v>2.2799999999999998</v>
      </c>
      <c r="U87" s="20">
        <v>0.2</v>
      </c>
      <c r="V87" s="20">
        <v>0.16</v>
      </c>
      <c r="W87" s="20">
        <v>0.05</v>
      </c>
      <c r="X87" s="20">
        <v>0.99</v>
      </c>
      <c r="Y87" s="20">
        <v>0.08</v>
      </c>
      <c r="Z87" s="20">
        <v>7.86</v>
      </c>
      <c r="AA87" s="20">
        <v>0.09</v>
      </c>
      <c r="AB87" s="20">
        <v>0.92</v>
      </c>
      <c r="AC87" s="20">
        <v>0.02</v>
      </c>
    </row>
    <row r="88" spans="1:29" x14ac:dyDescent="0.25">
      <c r="A88" s="7">
        <v>377</v>
      </c>
      <c r="B88" s="3" t="s">
        <v>93</v>
      </c>
      <c r="C88" s="3" t="s">
        <v>156</v>
      </c>
      <c r="D88" s="20">
        <v>37.1</v>
      </c>
      <c r="E88" s="20">
        <v>0.41</v>
      </c>
      <c r="F88" s="20">
        <v>0.41</v>
      </c>
      <c r="G88" s="20">
        <v>0.06</v>
      </c>
      <c r="H88" s="20">
        <v>2.8</v>
      </c>
      <c r="I88" s="20">
        <v>0.1</v>
      </c>
      <c r="J88" s="20">
        <v>0.59</v>
      </c>
      <c r="K88" s="20">
        <v>0.04</v>
      </c>
      <c r="L88" s="20">
        <v>18.7</v>
      </c>
      <c r="M88" s="20">
        <v>0.13</v>
      </c>
      <c r="N88" s="20">
        <v>0.42</v>
      </c>
      <c r="O88" s="20">
        <v>0.01</v>
      </c>
      <c r="P88" s="20">
        <v>19.75</v>
      </c>
      <c r="Q88" s="20">
        <v>0.23</v>
      </c>
      <c r="R88" s="20">
        <v>5.44</v>
      </c>
      <c r="S88" s="20">
        <v>0.05</v>
      </c>
      <c r="T88" s="20">
        <v>0.37</v>
      </c>
      <c r="U88" s="20">
        <v>0.37</v>
      </c>
      <c r="V88" s="20">
        <v>0.01</v>
      </c>
      <c r="W88" s="20">
        <v>0.05</v>
      </c>
      <c r="X88" s="20">
        <v>0.59</v>
      </c>
      <c r="Y88" s="20">
        <v>0.08</v>
      </c>
      <c r="Z88" s="20">
        <v>12.88</v>
      </c>
      <c r="AA88" s="20">
        <v>0.15</v>
      </c>
      <c r="AB88" s="20">
        <v>0.89</v>
      </c>
      <c r="AC88" s="20">
        <v>0.02</v>
      </c>
    </row>
    <row r="89" spans="1:29" x14ac:dyDescent="0.25">
      <c r="A89" s="7">
        <v>380</v>
      </c>
      <c r="B89" s="3" t="s">
        <v>94</v>
      </c>
      <c r="C89" s="3" t="s">
        <v>157</v>
      </c>
      <c r="D89" s="20">
        <v>37.299999999999997</v>
      </c>
      <c r="E89" s="20">
        <v>0.4</v>
      </c>
      <c r="F89" s="20">
        <v>0.45</v>
      </c>
      <c r="G89" s="20">
        <v>7.0000000000000007E-2</v>
      </c>
      <c r="H89" s="20">
        <v>2.2400000000000002</v>
      </c>
      <c r="I89" s="20">
        <v>0.06</v>
      </c>
      <c r="J89" s="20">
        <v>0.75</v>
      </c>
      <c r="K89" s="20">
        <v>0.05</v>
      </c>
      <c r="L89" s="20">
        <v>20.399999999999999</v>
      </c>
      <c r="M89" s="20">
        <v>0.16</v>
      </c>
      <c r="N89" s="20">
        <v>0.47</v>
      </c>
      <c r="O89" s="20">
        <v>0.02</v>
      </c>
      <c r="P89" s="20">
        <v>21.53</v>
      </c>
      <c r="Q89" s="20">
        <v>0.27</v>
      </c>
      <c r="R89" s="20">
        <v>4.9000000000000004</v>
      </c>
      <c r="S89" s="20">
        <v>0.06</v>
      </c>
      <c r="T89" s="20">
        <v>0</v>
      </c>
      <c r="U89" s="20">
        <v>0.37</v>
      </c>
      <c r="V89" s="20">
        <v>0</v>
      </c>
      <c r="W89" s="20">
        <v>0.05</v>
      </c>
      <c r="X89" s="20">
        <v>0.49</v>
      </c>
      <c r="Y89" s="20">
        <v>0.08</v>
      </c>
      <c r="Z89" s="20">
        <v>10.64</v>
      </c>
      <c r="AA89" s="20">
        <v>0.15</v>
      </c>
      <c r="AB89" s="20">
        <v>0.72</v>
      </c>
      <c r="AC89" s="20">
        <v>0.02</v>
      </c>
    </row>
    <row r="90" spans="1:29" x14ac:dyDescent="0.25">
      <c r="A90" s="7">
        <v>380</v>
      </c>
      <c r="B90" s="3" t="s">
        <v>4</v>
      </c>
      <c r="C90" s="3" t="s">
        <v>158</v>
      </c>
      <c r="D90" s="20">
        <v>42.7</v>
      </c>
      <c r="E90" s="20">
        <v>0.54</v>
      </c>
      <c r="F90" s="20">
        <v>0.56999999999999995</v>
      </c>
      <c r="G90" s="20">
        <v>0.13</v>
      </c>
      <c r="H90" s="20">
        <v>7.78</v>
      </c>
      <c r="I90" s="20">
        <v>0.25</v>
      </c>
      <c r="J90" s="20">
        <v>0.54</v>
      </c>
      <c r="K90" s="20">
        <v>0.06</v>
      </c>
      <c r="L90" s="20">
        <v>18.399999999999999</v>
      </c>
      <c r="M90" s="20">
        <v>0.18</v>
      </c>
      <c r="N90" s="20">
        <v>0.4</v>
      </c>
      <c r="O90" s="20">
        <v>0.08</v>
      </c>
      <c r="P90" s="20">
        <v>11.24</v>
      </c>
      <c r="Q90" s="20">
        <v>0.28000000000000003</v>
      </c>
      <c r="R90" s="20">
        <v>4.83</v>
      </c>
      <c r="S90" s="20">
        <v>0.1</v>
      </c>
      <c r="T90" s="20">
        <v>3.27</v>
      </c>
      <c r="U90" s="20">
        <v>0.86</v>
      </c>
      <c r="V90" s="20">
        <v>0.27</v>
      </c>
      <c r="W90" s="20">
        <v>0.14000000000000001</v>
      </c>
      <c r="X90" s="20">
        <v>0.75</v>
      </c>
      <c r="Y90" s="20">
        <v>0.27</v>
      </c>
      <c r="Z90" s="20">
        <v>7.81</v>
      </c>
      <c r="AA90" s="20">
        <v>0.21</v>
      </c>
      <c r="AB90" s="20">
        <v>1.33</v>
      </c>
      <c r="AC90" s="20">
        <v>0.06</v>
      </c>
    </row>
    <row r="91" spans="1:29" x14ac:dyDescent="0.25">
      <c r="A91" s="7">
        <v>381</v>
      </c>
      <c r="B91" s="3" t="s">
        <v>4</v>
      </c>
      <c r="C91" s="3" t="s">
        <v>159</v>
      </c>
      <c r="D91" s="20">
        <v>42.5</v>
      </c>
      <c r="E91" s="20">
        <v>0.41</v>
      </c>
      <c r="F91" s="20">
        <v>0.68</v>
      </c>
      <c r="G91" s="20">
        <v>7.0000000000000007E-2</v>
      </c>
      <c r="H91" s="20">
        <v>7.81</v>
      </c>
      <c r="I91" s="20">
        <v>0.11</v>
      </c>
      <c r="J91" s="20">
        <v>0.56999999999999995</v>
      </c>
      <c r="K91" s="20">
        <v>0.04</v>
      </c>
      <c r="L91" s="20">
        <v>18.8</v>
      </c>
      <c r="M91" s="20">
        <v>0.13</v>
      </c>
      <c r="N91" s="20">
        <v>0.4</v>
      </c>
      <c r="O91" s="20">
        <v>0.01</v>
      </c>
      <c r="P91" s="20">
        <v>10.9</v>
      </c>
      <c r="Q91" s="20">
        <v>0.14000000000000001</v>
      </c>
      <c r="R91" s="20">
        <v>4.9800000000000004</v>
      </c>
      <c r="S91" s="20">
        <v>0.05</v>
      </c>
      <c r="T91" s="20">
        <v>3</v>
      </c>
      <c r="U91" s="20">
        <v>0.21</v>
      </c>
      <c r="V91" s="20">
        <v>0.27</v>
      </c>
      <c r="W91" s="20">
        <v>0.06</v>
      </c>
      <c r="X91" s="20">
        <v>0.86</v>
      </c>
      <c r="Y91" s="20">
        <v>0.08</v>
      </c>
      <c r="Z91" s="20">
        <v>7.71</v>
      </c>
      <c r="AA91" s="20">
        <v>0.1</v>
      </c>
      <c r="AB91" s="20">
        <v>1.37</v>
      </c>
      <c r="AC91" s="20">
        <v>0.02</v>
      </c>
    </row>
    <row r="92" spans="1:29" x14ac:dyDescent="0.25">
      <c r="A92" s="7">
        <v>385</v>
      </c>
      <c r="B92" s="3" t="s">
        <v>5</v>
      </c>
      <c r="C92" s="3" t="s">
        <v>160</v>
      </c>
      <c r="D92" s="20">
        <v>41.8</v>
      </c>
      <c r="E92" s="20">
        <v>0.6</v>
      </c>
      <c r="F92" s="20">
        <v>0.53</v>
      </c>
      <c r="G92" s="20">
        <v>0.16</v>
      </c>
      <c r="H92" s="20">
        <v>5.49</v>
      </c>
      <c r="I92" s="20">
        <v>0.33</v>
      </c>
      <c r="J92" s="20">
        <v>0.63</v>
      </c>
      <c r="K92" s="20">
        <v>0.09</v>
      </c>
      <c r="L92" s="20">
        <v>18.3</v>
      </c>
      <c r="M92" s="20">
        <v>0.23</v>
      </c>
      <c r="N92" s="20">
        <v>0.33</v>
      </c>
      <c r="O92" s="20">
        <v>0.1</v>
      </c>
      <c r="P92" s="20">
        <v>16.27</v>
      </c>
      <c r="Q92" s="20">
        <v>0.41</v>
      </c>
      <c r="R92" s="20">
        <v>4.72</v>
      </c>
      <c r="S92" s="20">
        <v>0.13</v>
      </c>
      <c r="T92" s="20">
        <v>1.59</v>
      </c>
      <c r="U92" s="20">
        <v>1.5</v>
      </c>
      <c r="V92" s="20">
        <v>0.19</v>
      </c>
      <c r="W92" s="20">
        <v>0.15</v>
      </c>
      <c r="X92" s="20">
        <v>0.28999999999999998</v>
      </c>
      <c r="Y92" s="20">
        <v>0.83</v>
      </c>
      <c r="Z92" s="20">
        <v>8.48</v>
      </c>
      <c r="AA92" s="20">
        <v>0.52</v>
      </c>
      <c r="AB92" s="20">
        <v>1.26</v>
      </c>
      <c r="AC92" s="20">
        <v>0.08</v>
      </c>
    </row>
    <row r="93" spans="1:29" x14ac:dyDescent="0.25">
      <c r="A93" s="7">
        <v>401</v>
      </c>
      <c r="B93" s="3" t="s">
        <v>8</v>
      </c>
      <c r="C93" s="20" t="s">
        <v>161</v>
      </c>
      <c r="D93" s="20">
        <v>21.8</v>
      </c>
      <c r="E93" s="20">
        <v>0.24</v>
      </c>
      <c r="F93" s="20">
        <v>0.62</v>
      </c>
      <c r="G93" s="20">
        <v>7.0000000000000007E-2</v>
      </c>
      <c r="H93" s="20">
        <v>4.13</v>
      </c>
      <c r="I93" s="20">
        <v>7.0000000000000007E-2</v>
      </c>
      <c r="J93" s="20">
        <v>0.04</v>
      </c>
      <c r="K93" s="20">
        <v>0.03</v>
      </c>
      <c r="L93" s="20">
        <v>21</v>
      </c>
      <c r="M93" s="20">
        <v>0.12</v>
      </c>
      <c r="N93" s="20">
        <v>0.25</v>
      </c>
      <c r="O93" s="20">
        <v>0.01</v>
      </c>
      <c r="P93" s="20">
        <v>5.53</v>
      </c>
      <c r="Q93" s="20">
        <v>0.09</v>
      </c>
      <c r="R93" s="20">
        <v>6.84</v>
      </c>
      <c r="S93" s="20">
        <v>0.06</v>
      </c>
      <c r="T93" s="20">
        <v>1.64</v>
      </c>
      <c r="U93" s="20">
        <v>0.21</v>
      </c>
      <c r="V93" s="20">
        <v>0.19</v>
      </c>
      <c r="W93" s="20">
        <v>0.06</v>
      </c>
      <c r="X93" s="20">
        <v>5.61</v>
      </c>
      <c r="Y93" s="20">
        <v>0.14000000000000001</v>
      </c>
      <c r="Z93" s="20">
        <v>31.72</v>
      </c>
      <c r="AA93" s="20">
        <v>0.3</v>
      </c>
      <c r="AB93" s="20">
        <v>0.55000000000000004</v>
      </c>
      <c r="AC93" s="20">
        <v>0.02</v>
      </c>
    </row>
    <row r="94" spans="1:29" x14ac:dyDescent="0.25">
      <c r="A94" s="7">
        <v>416</v>
      </c>
      <c r="B94" s="3" t="s">
        <v>5</v>
      </c>
      <c r="C94" s="3" t="s">
        <v>162</v>
      </c>
      <c r="D94" s="20">
        <v>44.1</v>
      </c>
      <c r="E94" s="20">
        <v>0.48</v>
      </c>
      <c r="F94" s="20">
        <v>1.89</v>
      </c>
      <c r="G94" s="20">
        <v>0.09</v>
      </c>
      <c r="H94" s="20">
        <v>12.22</v>
      </c>
      <c r="I94" s="20">
        <v>0.19</v>
      </c>
      <c r="J94" s="20">
        <v>0</v>
      </c>
      <c r="K94" s="20">
        <v>0.03</v>
      </c>
      <c r="L94" s="20">
        <v>13.3</v>
      </c>
      <c r="M94" s="20">
        <v>0.11</v>
      </c>
      <c r="N94" s="20">
        <v>0.22</v>
      </c>
      <c r="O94" s="20">
        <v>0.01</v>
      </c>
      <c r="P94" s="20">
        <v>10.1</v>
      </c>
      <c r="Q94" s="20">
        <v>0.16</v>
      </c>
      <c r="R94" s="20">
        <v>6.06</v>
      </c>
      <c r="S94" s="20">
        <v>0.06</v>
      </c>
      <c r="T94" s="20">
        <v>2.78</v>
      </c>
      <c r="U94" s="20">
        <v>0.27</v>
      </c>
      <c r="V94" s="20">
        <v>0.76</v>
      </c>
      <c r="W94" s="20">
        <v>7.0000000000000007E-2</v>
      </c>
      <c r="X94" s="20">
        <v>2.72</v>
      </c>
      <c r="Y94" s="20">
        <v>0.11</v>
      </c>
      <c r="Z94" s="20">
        <v>4.7</v>
      </c>
      <c r="AA94" s="20">
        <v>0.08</v>
      </c>
      <c r="AB94" s="20">
        <v>1.1399999999999999</v>
      </c>
      <c r="AC94" s="20">
        <v>0.03</v>
      </c>
    </row>
    <row r="95" spans="1:29" x14ac:dyDescent="0.25">
      <c r="A95" s="7">
        <v>417</v>
      </c>
      <c r="B95" s="3" t="s">
        <v>6</v>
      </c>
      <c r="C95" s="3" t="s">
        <v>163</v>
      </c>
      <c r="D95" s="20">
        <v>42.4</v>
      </c>
      <c r="E95" s="20">
        <v>0.41</v>
      </c>
      <c r="F95" s="20">
        <v>2.21</v>
      </c>
      <c r="G95" s="20">
        <v>0.08</v>
      </c>
      <c r="H95" s="20">
        <v>12.33</v>
      </c>
      <c r="I95" s="20">
        <v>0.15</v>
      </c>
      <c r="J95" s="20">
        <v>0</v>
      </c>
      <c r="K95" s="20">
        <v>0.02</v>
      </c>
      <c r="L95" s="20">
        <v>13.2</v>
      </c>
      <c r="M95" s="20">
        <v>0.1</v>
      </c>
      <c r="N95" s="20">
        <v>0.22</v>
      </c>
      <c r="O95" s="20">
        <v>0.01</v>
      </c>
      <c r="P95" s="20">
        <v>10</v>
      </c>
      <c r="Q95" s="20">
        <v>0.13</v>
      </c>
      <c r="R95" s="20">
        <v>7.44</v>
      </c>
      <c r="S95" s="20">
        <v>0.06</v>
      </c>
      <c r="T95" s="20">
        <v>2.67</v>
      </c>
      <c r="U95" s="20">
        <v>0.23</v>
      </c>
      <c r="V95" s="20">
        <v>0.74</v>
      </c>
      <c r="W95" s="20">
        <v>0.06</v>
      </c>
      <c r="X95" s="20">
        <v>4.5</v>
      </c>
      <c r="Y95" s="20">
        <v>0.11</v>
      </c>
      <c r="Z95" s="20">
        <v>3.43</v>
      </c>
      <c r="AA95" s="20">
        <v>0.06</v>
      </c>
      <c r="AB95" s="20">
        <v>0.8</v>
      </c>
      <c r="AC95" s="20">
        <v>0.02</v>
      </c>
    </row>
    <row r="96" spans="1:29" x14ac:dyDescent="0.25">
      <c r="A96" s="7">
        <v>427</v>
      </c>
      <c r="B96" s="3" t="s">
        <v>8</v>
      </c>
      <c r="C96" s="20" t="s">
        <v>164</v>
      </c>
      <c r="D96" s="20">
        <v>24.9</v>
      </c>
      <c r="E96" s="20">
        <v>0.22</v>
      </c>
      <c r="F96" s="20">
        <v>0.88</v>
      </c>
      <c r="G96" s="20">
        <v>7.0000000000000007E-2</v>
      </c>
      <c r="H96" s="20">
        <v>6.27</v>
      </c>
      <c r="I96" s="20">
        <v>0.08</v>
      </c>
      <c r="J96" s="20">
        <v>0.35</v>
      </c>
      <c r="K96" s="20">
        <v>0.03</v>
      </c>
      <c r="L96" s="20">
        <v>16.100000000000001</v>
      </c>
      <c r="M96" s="20">
        <v>0.09</v>
      </c>
      <c r="N96" s="20">
        <v>0.3</v>
      </c>
      <c r="O96" s="20">
        <v>0.01</v>
      </c>
      <c r="P96" s="20">
        <v>5.19</v>
      </c>
      <c r="Q96" s="20">
        <v>0.08</v>
      </c>
      <c r="R96" s="20">
        <v>6.94</v>
      </c>
      <c r="S96" s="20">
        <v>0.05</v>
      </c>
      <c r="T96" s="20">
        <v>1.42</v>
      </c>
      <c r="U96" s="20">
        <v>0.18</v>
      </c>
      <c r="V96" s="20">
        <v>0.4</v>
      </c>
      <c r="W96" s="20">
        <v>0.06</v>
      </c>
      <c r="X96" s="20">
        <v>4.6900000000000004</v>
      </c>
      <c r="Y96" s="20">
        <v>0.11</v>
      </c>
      <c r="Z96" s="20">
        <v>31.62</v>
      </c>
      <c r="AA96" s="20">
        <v>0.25</v>
      </c>
      <c r="AB96" s="20">
        <v>0.73</v>
      </c>
      <c r="AC96" s="20">
        <v>0.02</v>
      </c>
    </row>
    <row r="97" spans="1:29" x14ac:dyDescent="0.25">
      <c r="A97" s="7">
        <v>428</v>
      </c>
      <c r="B97" s="3" t="s">
        <v>8</v>
      </c>
      <c r="C97" s="20" t="s">
        <v>165</v>
      </c>
      <c r="D97" s="20">
        <v>46.1</v>
      </c>
      <c r="E97" s="20">
        <v>0.43</v>
      </c>
      <c r="F97" s="20">
        <v>0.89</v>
      </c>
      <c r="G97" s="20">
        <v>7.0000000000000007E-2</v>
      </c>
      <c r="H97" s="20">
        <v>10.44</v>
      </c>
      <c r="I97" s="20">
        <v>0.13</v>
      </c>
      <c r="J97" s="20">
        <v>0.38</v>
      </c>
      <c r="K97" s="20">
        <v>0.03</v>
      </c>
      <c r="L97" s="20">
        <v>15.9</v>
      </c>
      <c r="M97" s="20">
        <v>0.11</v>
      </c>
      <c r="N97" s="20">
        <v>0.33</v>
      </c>
      <c r="O97" s="20">
        <v>0.01</v>
      </c>
      <c r="P97" s="20">
        <v>8.74</v>
      </c>
      <c r="Q97" s="20">
        <v>0.11</v>
      </c>
      <c r="R97" s="20">
        <v>6.25</v>
      </c>
      <c r="S97" s="20">
        <v>0.05</v>
      </c>
      <c r="T97" s="20">
        <v>3.24</v>
      </c>
      <c r="U97" s="20">
        <v>0.21</v>
      </c>
      <c r="V97" s="20">
        <v>0.39</v>
      </c>
      <c r="W97" s="20">
        <v>0.06</v>
      </c>
      <c r="X97" s="20">
        <v>0.96</v>
      </c>
      <c r="Y97" s="20">
        <v>7.0000000000000007E-2</v>
      </c>
      <c r="Z97" s="20">
        <v>5.68</v>
      </c>
      <c r="AA97" s="20">
        <v>7.0000000000000007E-2</v>
      </c>
      <c r="AB97" s="20">
        <v>0.55000000000000004</v>
      </c>
      <c r="AC97" s="20">
        <v>0.01</v>
      </c>
    </row>
    <row r="98" spans="1:29" x14ac:dyDescent="0.25">
      <c r="A98" s="7">
        <v>429</v>
      </c>
      <c r="B98" s="3" t="s">
        <v>5</v>
      </c>
      <c r="C98" s="3" t="s">
        <v>166</v>
      </c>
      <c r="D98" s="20">
        <v>49.8</v>
      </c>
      <c r="E98" s="20">
        <v>0.42</v>
      </c>
      <c r="F98" s="20">
        <v>1.4</v>
      </c>
      <c r="G98" s="20">
        <v>7.0000000000000007E-2</v>
      </c>
      <c r="H98" s="20">
        <v>15.12</v>
      </c>
      <c r="I98" s="20">
        <v>0.15</v>
      </c>
      <c r="J98" s="20">
        <v>0.47</v>
      </c>
      <c r="K98" s="20">
        <v>0.03</v>
      </c>
      <c r="L98" s="20">
        <v>5.6</v>
      </c>
      <c r="M98" s="20">
        <v>0.04</v>
      </c>
      <c r="N98" s="20">
        <v>0.16</v>
      </c>
      <c r="O98" s="20">
        <v>0.01</v>
      </c>
      <c r="P98" s="20">
        <v>5.1100000000000003</v>
      </c>
      <c r="Q98" s="20">
        <v>0.09</v>
      </c>
      <c r="R98" s="20">
        <v>7.62</v>
      </c>
      <c r="S98" s="20">
        <v>0.05</v>
      </c>
      <c r="T98" s="20">
        <v>3.29</v>
      </c>
      <c r="U98" s="20">
        <v>0.23</v>
      </c>
      <c r="V98" s="20">
        <v>0.65</v>
      </c>
      <c r="W98" s="20">
        <v>0.06</v>
      </c>
      <c r="X98" s="20">
        <v>4.66</v>
      </c>
      <c r="Y98" s="20">
        <v>0.11</v>
      </c>
      <c r="Z98" s="20">
        <v>5.0199999999999996</v>
      </c>
      <c r="AA98" s="20">
        <v>0.06</v>
      </c>
      <c r="AB98" s="20">
        <v>0.85</v>
      </c>
      <c r="AC98" s="20">
        <v>0.02</v>
      </c>
    </row>
    <row r="99" spans="1:29" x14ac:dyDescent="0.25">
      <c r="A99" s="7">
        <v>430</v>
      </c>
      <c r="B99" s="3" t="s">
        <v>8</v>
      </c>
      <c r="C99" s="20" t="s">
        <v>167</v>
      </c>
      <c r="D99" s="20">
        <v>43.2</v>
      </c>
      <c r="E99" s="20">
        <v>0.4</v>
      </c>
      <c r="F99" s="20">
        <v>0.99</v>
      </c>
      <c r="G99" s="20">
        <v>7.0000000000000007E-2</v>
      </c>
      <c r="H99" s="20">
        <v>9.7200000000000006</v>
      </c>
      <c r="I99" s="20">
        <v>0.11</v>
      </c>
      <c r="J99" s="20">
        <v>0.37</v>
      </c>
      <c r="K99" s="20">
        <v>0.03</v>
      </c>
      <c r="L99" s="20">
        <v>17.2</v>
      </c>
      <c r="M99" s="20">
        <v>0.11</v>
      </c>
      <c r="N99" s="20">
        <v>0.34</v>
      </c>
      <c r="O99" s="20">
        <v>0.01</v>
      </c>
      <c r="P99" s="20">
        <v>8.64</v>
      </c>
      <c r="Q99" s="20">
        <v>0.12</v>
      </c>
      <c r="R99" s="20">
        <v>6.39</v>
      </c>
      <c r="S99" s="20">
        <v>0.05</v>
      </c>
      <c r="T99" s="20">
        <v>3.02</v>
      </c>
      <c r="U99" s="20">
        <v>0.26</v>
      </c>
      <c r="V99" s="20">
        <v>0.38</v>
      </c>
      <c r="W99" s="20">
        <v>0.06</v>
      </c>
      <c r="X99" s="20">
        <v>1.38</v>
      </c>
      <c r="Y99" s="20">
        <v>0.08</v>
      </c>
      <c r="Z99" s="20">
        <v>7.73</v>
      </c>
      <c r="AA99" s="20">
        <v>0.08</v>
      </c>
      <c r="AB99" s="20">
        <v>0.57999999999999996</v>
      </c>
      <c r="AC99" s="20">
        <v>0.01</v>
      </c>
    </row>
    <row r="100" spans="1:29" x14ac:dyDescent="0.25">
      <c r="A100" s="7">
        <v>457</v>
      </c>
      <c r="B100" s="3" t="s">
        <v>3</v>
      </c>
      <c r="C100" s="20" t="s">
        <v>168</v>
      </c>
      <c r="D100" s="20">
        <v>47.1</v>
      </c>
      <c r="E100" s="20">
        <v>0.3</v>
      </c>
      <c r="F100" s="20">
        <v>1.02</v>
      </c>
      <c r="G100" s="20">
        <v>7.0000000000000007E-2</v>
      </c>
      <c r="H100" s="20">
        <v>11.83</v>
      </c>
      <c r="I100" s="20">
        <v>0.11</v>
      </c>
      <c r="J100" s="20">
        <v>0.23</v>
      </c>
      <c r="K100" s="20">
        <v>0.03</v>
      </c>
      <c r="L100" s="20">
        <v>14.4</v>
      </c>
      <c r="M100" s="20">
        <v>0.06</v>
      </c>
      <c r="N100" s="20">
        <v>0.3</v>
      </c>
      <c r="O100" s="20">
        <v>0.01</v>
      </c>
      <c r="P100" s="20">
        <v>8.73</v>
      </c>
      <c r="Q100" s="20">
        <v>0.09</v>
      </c>
      <c r="R100" s="20">
        <v>6.53</v>
      </c>
      <c r="S100" s="20">
        <v>0.04</v>
      </c>
      <c r="T100" s="20">
        <v>3.4</v>
      </c>
      <c r="U100" s="20">
        <v>0.19</v>
      </c>
      <c r="V100" s="20">
        <v>0.41</v>
      </c>
      <c r="W100" s="20">
        <v>0.06</v>
      </c>
      <c r="X100" s="20">
        <v>1.39</v>
      </c>
      <c r="Y100" s="20">
        <v>7.0000000000000007E-2</v>
      </c>
      <c r="Z100" s="20">
        <v>4.0199999999999996</v>
      </c>
      <c r="AA100" s="20">
        <v>0.05</v>
      </c>
      <c r="AB100" s="20">
        <v>0.6</v>
      </c>
      <c r="AC100" s="20">
        <v>0.01</v>
      </c>
    </row>
    <row r="101" spans="1:29" x14ac:dyDescent="0.25">
      <c r="A101" s="7">
        <v>469</v>
      </c>
      <c r="B101" s="3" t="s">
        <v>4</v>
      </c>
      <c r="C101" s="3" t="s">
        <v>169</v>
      </c>
      <c r="D101" s="20">
        <v>47</v>
      </c>
      <c r="E101" s="20">
        <v>0.37</v>
      </c>
      <c r="F101" s="20">
        <v>2.21</v>
      </c>
      <c r="G101" s="20">
        <v>0.08</v>
      </c>
      <c r="H101" s="20">
        <v>12.44</v>
      </c>
      <c r="I101" s="20">
        <v>0.13</v>
      </c>
      <c r="J101" s="20">
        <v>0.11</v>
      </c>
      <c r="K101" s="20">
        <v>0.03</v>
      </c>
      <c r="L101" s="20">
        <v>12.8</v>
      </c>
      <c r="M101" s="20">
        <v>7.0000000000000007E-2</v>
      </c>
      <c r="N101" s="20">
        <v>0.31</v>
      </c>
      <c r="O101" s="20">
        <v>0.01</v>
      </c>
      <c r="P101" s="20">
        <v>8.3800000000000008</v>
      </c>
      <c r="Q101" s="20">
        <v>0.11</v>
      </c>
      <c r="R101" s="20">
        <v>5.75</v>
      </c>
      <c r="S101" s="20">
        <v>0.05</v>
      </c>
      <c r="T101" s="20">
        <v>3.32</v>
      </c>
      <c r="U101" s="20">
        <v>0.23</v>
      </c>
      <c r="V101" s="20">
        <v>0.51</v>
      </c>
      <c r="W101" s="20">
        <v>0.06</v>
      </c>
      <c r="X101" s="20">
        <v>1.23</v>
      </c>
      <c r="Y101" s="20">
        <v>0.08</v>
      </c>
      <c r="Z101" s="20">
        <v>4.95</v>
      </c>
      <c r="AA101" s="20">
        <v>7.0000000000000007E-2</v>
      </c>
      <c r="AB101" s="20">
        <v>0.92</v>
      </c>
      <c r="AC101" s="20">
        <v>0.02</v>
      </c>
    </row>
    <row r="102" spans="1:29" x14ac:dyDescent="0.25">
      <c r="A102" s="7">
        <v>470</v>
      </c>
      <c r="B102" s="3" t="s">
        <v>5</v>
      </c>
      <c r="C102" s="3" t="s">
        <v>170</v>
      </c>
      <c r="D102" s="20">
        <v>46.9</v>
      </c>
      <c r="E102" s="20">
        <v>0.34</v>
      </c>
      <c r="F102" s="20">
        <v>1.96</v>
      </c>
      <c r="G102" s="20">
        <v>7.0000000000000007E-2</v>
      </c>
      <c r="H102" s="20">
        <v>13.61</v>
      </c>
      <c r="I102" s="20">
        <v>0.12</v>
      </c>
      <c r="J102" s="20">
        <v>0.05</v>
      </c>
      <c r="K102" s="20">
        <v>0.03</v>
      </c>
      <c r="L102" s="20">
        <v>10.5</v>
      </c>
      <c r="M102" s="20">
        <v>0.05</v>
      </c>
      <c r="N102" s="20">
        <v>0.27</v>
      </c>
      <c r="O102" s="20">
        <v>0.01</v>
      </c>
      <c r="P102" s="20">
        <v>8.48</v>
      </c>
      <c r="Q102" s="20">
        <v>0.09</v>
      </c>
      <c r="R102" s="20">
        <v>6.36</v>
      </c>
      <c r="S102" s="20">
        <v>0.04</v>
      </c>
      <c r="T102" s="20">
        <v>3.44</v>
      </c>
      <c r="U102" s="20">
        <v>0.21</v>
      </c>
      <c r="V102" s="20">
        <v>0.56000000000000005</v>
      </c>
      <c r="W102" s="20">
        <v>0.06</v>
      </c>
      <c r="X102" s="20">
        <v>2.41</v>
      </c>
      <c r="Y102" s="20">
        <v>0.09</v>
      </c>
      <c r="Z102" s="20">
        <v>4.1500000000000004</v>
      </c>
      <c r="AA102" s="20">
        <v>0.05</v>
      </c>
      <c r="AB102" s="20">
        <v>1.23</v>
      </c>
      <c r="AC102" s="20">
        <v>0.02</v>
      </c>
    </row>
    <row r="103" spans="1:29" x14ac:dyDescent="0.25">
      <c r="A103" s="7">
        <v>475</v>
      </c>
      <c r="B103" s="3" t="s">
        <v>5</v>
      </c>
      <c r="C103" s="3" t="s">
        <v>171</v>
      </c>
      <c r="D103" s="20">
        <v>44.6</v>
      </c>
      <c r="E103" s="20">
        <v>0.38</v>
      </c>
      <c r="F103" s="20">
        <v>1.9</v>
      </c>
      <c r="G103" s="20">
        <v>0.09</v>
      </c>
      <c r="H103" s="20">
        <v>12.49</v>
      </c>
      <c r="I103" s="20">
        <v>0.15</v>
      </c>
      <c r="J103" s="20">
        <v>0.05</v>
      </c>
      <c r="K103" s="20">
        <v>0.03</v>
      </c>
      <c r="L103" s="20">
        <v>12</v>
      </c>
      <c r="M103" s="20">
        <v>0.08</v>
      </c>
      <c r="N103" s="20">
        <v>0.21</v>
      </c>
      <c r="O103" s="20">
        <v>0.01</v>
      </c>
      <c r="P103" s="20">
        <v>8.3000000000000007</v>
      </c>
      <c r="Q103" s="20">
        <v>0.13</v>
      </c>
      <c r="R103" s="20">
        <v>7.4</v>
      </c>
      <c r="S103" s="20">
        <v>7.0000000000000007E-2</v>
      </c>
      <c r="T103" s="20">
        <v>3.32</v>
      </c>
      <c r="U103" s="20">
        <v>0.28000000000000003</v>
      </c>
      <c r="V103" s="20">
        <v>0.45</v>
      </c>
      <c r="W103" s="20">
        <v>0.06</v>
      </c>
      <c r="X103" s="20">
        <v>3.17</v>
      </c>
      <c r="Y103" s="20">
        <v>0.11</v>
      </c>
      <c r="Z103" s="20">
        <v>4.7300000000000004</v>
      </c>
      <c r="AA103" s="20">
        <v>0.09</v>
      </c>
      <c r="AB103" s="20">
        <v>1.36</v>
      </c>
      <c r="AC103" s="20">
        <v>0.03</v>
      </c>
    </row>
    <row r="104" spans="1:29" x14ac:dyDescent="0.25">
      <c r="A104" s="7">
        <v>477</v>
      </c>
      <c r="B104" s="3" t="s">
        <v>3</v>
      </c>
      <c r="C104" s="20" t="s">
        <v>172</v>
      </c>
      <c r="D104" s="20">
        <v>47.7</v>
      </c>
      <c r="E104" s="20">
        <v>0.49</v>
      </c>
      <c r="F104" s="20">
        <v>0.83</v>
      </c>
      <c r="G104" s="20">
        <v>7.0000000000000007E-2</v>
      </c>
      <c r="H104" s="20">
        <v>10.78</v>
      </c>
      <c r="I104" s="20">
        <v>0.15</v>
      </c>
      <c r="J104" s="20">
        <v>0.34</v>
      </c>
      <c r="K104" s="20">
        <v>0.03</v>
      </c>
      <c r="L104" s="20">
        <v>15.3</v>
      </c>
      <c r="M104" s="20">
        <v>0.11</v>
      </c>
      <c r="N104" s="20">
        <v>0.33</v>
      </c>
      <c r="O104" s="20">
        <v>0.01</v>
      </c>
      <c r="P104" s="20">
        <v>8.58</v>
      </c>
      <c r="Q104" s="20">
        <v>0.15</v>
      </c>
      <c r="R104" s="20">
        <v>6.37</v>
      </c>
      <c r="S104" s="20">
        <v>0.06</v>
      </c>
      <c r="T104" s="20">
        <v>3.09</v>
      </c>
      <c r="U104" s="20">
        <v>0.31</v>
      </c>
      <c r="V104" s="20">
        <v>0.43</v>
      </c>
      <c r="W104" s="20">
        <v>0.06</v>
      </c>
      <c r="X104" s="20">
        <v>0.83</v>
      </c>
      <c r="Y104" s="20">
        <v>0.08</v>
      </c>
      <c r="Z104" s="20">
        <v>4.75</v>
      </c>
      <c r="AA104" s="20">
        <v>0.08</v>
      </c>
      <c r="AB104" s="20">
        <v>0.55000000000000004</v>
      </c>
      <c r="AC104" s="20">
        <v>0.01</v>
      </c>
    </row>
    <row r="105" spans="1:29" x14ac:dyDescent="0.25">
      <c r="A105" s="7">
        <v>481</v>
      </c>
      <c r="B105" s="3" t="s">
        <v>4</v>
      </c>
      <c r="C105" s="3" t="s">
        <v>173</v>
      </c>
      <c r="D105" s="20">
        <v>46.3</v>
      </c>
      <c r="E105" s="20">
        <v>0.42</v>
      </c>
      <c r="F105" s="20">
        <v>1.52</v>
      </c>
      <c r="G105" s="20">
        <v>0.08</v>
      </c>
      <c r="H105" s="20">
        <v>12.52</v>
      </c>
      <c r="I105" s="20">
        <v>0.14000000000000001</v>
      </c>
      <c r="J105" s="20">
        <v>0.13</v>
      </c>
      <c r="K105" s="20">
        <v>0.03</v>
      </c>
      <c r="L105" s="20">
        <v>11.5</v>
      </c>
      <c r="M105" s="20">
        <v>0.08</v>
      </c>
      <c r="N105" s="20">
        <v>0.24</v>
      </c>
      <c r="O105" s="20">
        <v>0.01</v>
      </c>
      <c r="P105" s="20">
        <v>8.16</v>
      </c>
      <c r="Q105" s="20">
        <v>0.11</v>
      </c>
      <c r="R105" s="20">
        <v>7.02</v>
      </c>
      <c r="S105" s="20">
        <v>0.05</v>
      </c>
      <c r="T105" s="20">
        <v>3.48</v>
      </c>
      <c r="U105" s="20">
        <v>0.23</v>
      </c>
      <c r="V105" s="20">
        <v>0.4</v>
      </c>
      <c r="W105" s="20">
        <v>0.06</v>
      </c>
      <c r="X105" s="20">
        <v>2.62</v>
      </c>
      <c r="Y105" s="20">
        <v>0.09</v>
      </c>
      <c r="Z105" s="20">
        <v>4.92</v>
      </c>
      <c r="AA105" s="20">
        <v>7.0000000000000007E-2</v>
      </c>
      <c r="AB105" s="20">
        <v>1.06</v>
      </c>
      <c r="AC105" s="20">
        <v>0.02</v>
      </c>
    </row>
    <row r="106" spans="1:29" x14ac:dyDescent="0.25">
      <c r="A106" s="7">
        <v>484</v>
      </c>
      <c r="B106" s="3" t="s">
        <v>5</v>
      </c>
      <c r="C106" s="3" t="s">
        <v>174</v>
      </c>
      <c r="D106" s="20">
        <v>45.2</v>
      </c>
      <c r="E106" s="20">
        <v>0.4</v>
      </c>
      <c r="F106" s="20">
        <v>1.94</v>
      </c>
      <c r="G106" s="20">
        <v>0.08</v>
      </c>
      <c r="H106" s="20">
        <v>12.07</v>
      </c>
      <c r="I106" s="20">
        <v>0.13</v>
      </c>
      <c r="J106" s="20">
        <v>0.04</v>
      </c>
      <c r="K106" s="20">
        <v>0.03</v>
      </c>
      <c r="L106" s="20">
        <v>10.9</v>
      </c>
      <c r="M106" s="20">
        <v>7.0000000000000007E-2</v>
      </c>
      <c r="N106" s="20">
        <v>0.22</v>
      </c>
      <c r="O106" s="20">
        <v>0.01</v>
      </c>
      <c r="P106" s="20">
        <v>8.64</v>
      </c>
      <c r="Q106" s="20">
        <v>0.11</v>
      </c>
      <c r="R106" s="20">
        <v>6.71</v>
      </c>
      <c r="S106" s="20">
        <v>0.05</v>
      </c>
      <c r="T106" s="20">
        <v>3.6</v>
      </c>
      <c r="U106" s="20">
        <v>0.22</v>
      </c>
      <c r="V106" s="20">
        <v>0.37</v>
      </c>
      <c r="W106" s="20">
        <v>0.06</v>
      </c>
      <c r="X106" s="20">
        <v>2.5099999999999998</v>
      </c>
      <c r="Y106" s="20">
        <v>0.09</v>
      </c>
      <c r="Z106" s="20">
        <v>6.43</v>
      </c>
      <c r="AA106" s="20">
        <v>7.0000000000000007E-2</v>
      </c>
      <c r="AB106" s="20">
        <v>1.28</v>
      </c>
      <c r="AC106" s="20">
        <v>0.02</v>
      </c>
    </row>
    <row r="107" spans="1:29" x14ac:dyDescent="0.25">
      <c r="A107" s="7">
        <v>491</v>
      </c>
      <c r="B107" s="3" t="s">
        <v>4</v>
      </c>
      <c r="C107" s="3" t="s">
        <v>175</v>
      </c>
      <c r="D107" s="20">
        <v>46.8</v>
      </c>
      <c r="E107" s="20">
        <v>0.43</v>
      </c>
      <c r="F107" s="20">
        <v>1.37</v>
      </c>
      <c r="G107" s="20">
        <v>7.0000000000000007E-2</v>
      </c>
      <c r="H107" s="20">
        <v>13.73</v>
      </c>
      <c r="I107" s="20">
        <v>0.15</v>
      </c>
      <c r="J107" s="20">
        <v>0.02</v>
      </c>
      <c r="K107" s="20">
        <v>0.03</v>
      </c>
      <c r="L107" s="20">
        <v>11.4</v>
      </c>
      <c r="M107" s="20">
        <v>0.08</v>
      </c>
      <c r="N107" s="20">
        <v>0.17</v>
      </c>
      <c r="O107" s="20">
        <v>0.01</v>
      </c>
      <c r="P107" s="20">
        <v>7.91</v>
      </c>
      <c r="Q107" s="20">
        <v>0.11</v>
      </c>
      <c r="R107" s="20">
        <v>6.45</v>
      </c>
      <c r="S107" s="20">
        <v>0.05</v>
      </c>
      <c r="T107" s="20">
        <v>3.42</v>
      </c>
      <c r="U107" s="20">
        <v>0.23</v>
      </c>
      <c r="V107" s="20">
        <v>0.37</v>
      </c>
      <c r="W107" s="20">
        <v>0.06</v>
      </c>
      <c r="X107" s="20">
        <v>2.31</v>
      </c>
      <c r="Y107" s="20">
        <v>0.09</v>
      </c>
      <c r="Z107" s="20">
        <v>4.97</v>
      </c>
      <c r="AA107" s="20">
        <v>7.0000000000000007E-2</v>
      </c>
      <c r="AB107" s="20">
        <v>1.05</v>
      </c>
      <c r="AC107" s="20">
        <v>0.02</v>
      </c>
    </row>
    <row r="108" spans="1:29" x14ac:dyDescent="0.25">
      <c r="A108" s="7">
        <v>495</v>
      </c>
      <c r="B108" s="3" t="s">
        <v>4</v>
      </c>
      <c r="C108" s="3" t="s">
        <v>176</v>
      </c>
      <c r="D108" s="20">
        <v>46.4</v>
      </c>
      <c r="E108" s="20">
        <v>0.41</v>
      </c>
      <c r="F108" s="20">
        <v>1.99</v>
      </c>
      <c r="G108" s="20">
        <v>0.08</v>
      </c>
      <c r="H108" s="20">
        <v>13.37</v>
      </c>
      <c r="I108" s="20">
        <v>0.15</v>
      </c>
      <c r="J108" s="20">
        <v>0.06</v>
      </c>
      <c r="K108" s="20">
        <v>0.03</v>
      </c>
      <c r="L108" s="20">
        <v>11.1</v>
      </c>
      <c r="M108" s="20">
        <v>0.08</v>
      </c>
      <c r="N108" s="20">
        <v>0.19</v>
      </c>
      <c r="O108" s="20">
        <v>0.01</v>
      </c>
      <c r="P108" s="20">
        <v>7.82</v>
      </c>
      <c r="Q108" s="20">
        <v>0.11</v>
      </c>
      <c r="R108" s="20">
        <v>7.15</v>
      </c>
      <c r="S108" s="20">
        <v>0.05</v>
      </c>
      <c r="T108" s="20">
        <v>3.42</v>
      </c>
      <c r="U108" s="20">
        <v>0.22</v>
      </c>
      <c r="V108" s="20">
        <v>0.39</v>
      </c>
      <c r="W108" s="20">
        <v>0.06</v>
      </c>
      <c r="X108" s="20">
        <v>2.68</v>
      </c>
      <c r="Y108" s="20">
        <v>0.09</v>
      </c>
      <c r="Z108" s="20">
        <v>4.33</v>
      </c>
      <c r="AA108" s="20">
        <v>0.06</v>
      </c>
      <c r="AB108" s="20">
        <v>0.96</v>
      </c>
      <c r="AC108" s="20">
        <v>0.02</v>
      </c>
    </row>
    <row r="109" spans="1:29" x14ac:dyDescent="0.25">
      <c r="A109" s="7">
        <v>496</v>
      </c>
      <c r="B109" s="3" t="s">
        <v>5</v>
      </c>
      <c r="C109" s="3" t="s">
        <v>177</v>
      </c>
      <c r="D109" s="20">
        <v>46</v>
      </c>
      <c r="E109" s="20">
        <v>0.41</v>
      </c>
      <c r="F109" s="20">
        <v>1.92</v>
      </c>
      <c r="G109" s="20">
        <v>7.0000000000000007E-2</v>
      </c>
      <c r="H109" s="20">
        <v>13.1</v>
      </c>
      <c r="I109" s="20">
        <v>0.14000000000000001</v>
      </c>
      <c r="J109" s="20">
        <v>0.05</v>
      </c>
      <c r="K109" s="20">
        <v>0.03</v>
      </c>
      <c r="L109" s="20">
        <v>11.1</v>
      </c>
      <c r="M109" s="20">
        <v>0.08</v>
      </c>
      <c r="N109" s="20">
        <v>0.2</v>
      </c>
      <c r="O109" s="20">
        <v>0.01</v>
      </c>
      <c r="P109" s="20">
        <v>8.42</v>
      </c>
      <c r="Q109" s="20">
        <v>0.11</v>
      </c>
      <c r="R109" s="20">
        <v>7.13</v>
      </c>
      <c r="S109" s="20">
        <v>0.05</v>
      </c>
      <c r="T109" s="20">
        <v>3.48</v>
      </c>
      <c r="U109" s="20">
        <v>0.22</v>
      </c>
      <c r="V109" s="20">
        <v>0.38</v>
      </c>
      <c r="W109" s="20">
        <v>0.06</v>
      </c>
      <c r="X109" s="20">
        <v>2.83</v>
      </c>
      <c r="Y109" s="20">
        <v>0.09</v>
      </c>
      <c r="Z109" s="20">
        <v>4.29</v>
      </c>
      <c r="AA109" s="20">
        <v>0.06</v>
      </c>
      <c r="AB109" s="20">
        <v>0.98</v>
      </c>
      <c r="AC109" s="20">
        <v>0.02</v>
      </c>
    </row>
    <row r="110" spans="1:29" x14ac:dyDescent="0.25">
      <c r="A110" s="7">
        <v>499</v>
      </c>
      <c r="B110" s="3" t="s">
        <v>5</v>
      </c>
      <c r="C110" s="3" t="s">
        <v>178</v>
      </c>
      <c r="D110" s="20">
        <v>45.8</v>
      </c>
      <c r="E110" s="20">
        <v>0.41</v>
      </c>
      <c r="F110" s="20">
        <v>1.83</v>
      </c>
      <c r="G110" s="20">
        <v>0.08</v>
      </c>
      <c r="H110" s="20">
        <v>12.62</v>
      </c>
      <c r="I110" s="20">
        <v>0.14000000000000001</v>
      </c>
      <c r="J110" s="20">
        <v>0.08</v>
      </c>
      <c r="K110" s="20">
        <v>0.03</v>
      </c>
      <c r="L110" s="20">
        <v>12.1</v>
      </c>
      <c r="M110" s="20">
        <v>0.08</v>
      </c>
      <c r="N110" s="20">
        <v>0.21</v>
      </c>
      <c r="O110" s="20">
        <v>0.01</v>
      </c>
      <c r="P110" s="20">
        <v>7.98</v>
      </c>
      <c r="Q110" s="20">
        <v>0.11</v>
      </c>
      <c r="R110" s="20">
        <v>7.03</v>
      </c>
      <c r="S110" s="20">
        <v>0.05</v>
      </c>
      <c r="T110" s="20">
        <v>3.45</v>
      </c>
      <c r="U110" s="20">
        <v>0.22</v>
      </c>
      <c r="V110" s="20">
        <v>0.43</v>
      </c>
      <c r="W110" s="20">
        <v>0.06</v>
      </c>
      <c r="X110" s="20">
        <v>2.56</v>
      </c>
      <c r="Y110" s="20">
        <v>0.09</v>
      </c>
      <c r="Z110" s="20">
        <v>4.8099999999999996</v>
      </c>
      <c r="AA110" s="20">
        <v>0.06</v>
      </c>
      <c r="AB110" s="20">
        <v>1.02</v>
      </c>
      <c r="AC110" s="20">
        <v>0.02</v>
      </c>
    </row>
    <row r="111" spans="1:29" x14ac:dyDescent="0.25">
      <c r="A111" s="7">
        <v>502</v>
      </c>
      <c r="B111" s="3" t="s">
        <v>3</v>
      </c>
      <c r="C111" s="20" t="s">
        <v>179</v>
      </c>
      <c r="D111" s="20">
        <v>45.7</v>
      </c>
      <c r="E111" s="20">
        <v>0.71</v>
      </c>
      <c r="F111" s="20">
        <v>1.9</v>
      </c>
      <c r="G111" s="20">
        <v>0.27</v>
      </c>
      <c r="H111" s="20">
        <v>11.8</v>
      </c>
      <c r="I111" s="20">
        <v>0.57999999999999996</v>
      </c>
      <c r="J111" s="20">
        <v>0.21</v>
      </c>
      <c r="K111" s="20">
        <v>0.08</v>
      </c>
      <c r="L111" s="20">
        <v>13.4</v>
      </c>
      <c r="M111" s="20">
        <v>0.19</v>
      </c>
      <c r="N111" s="20">
        <v>0.22</v>
      </c>
      <c r="O111" s="20">
        <v>0.14000000000000001</v>
      </c>
      <c r="P111" s="20">
        <v>8.44</v>
      </c>
      <c r="Q111" s="20">
        <v>0.56999999999999995</v>
      </c>
      <c r="R111" s="20">
        <v>7.03</v>
      </c>
      <c r="S111" s="20">
        <v>0.16</v>
      </c>
      <c r="T111" s="20">
        <v>2.48</v>
      </c>
      <c r="U111" s="20">
        <v>2.09</v>
      </c>
      <c r="V111" s="20">
        <v>0.5</v>
      </c>
      <c r="W111" s="20">
        <v>0.2</v>
      </c>
      <c r="X111" s="20">
        <v>2.2000000000000002</v>
      </c>
      <c r="Y111" s="20">
        <v>0.76</v>
      </c>
      <c r="Z111" s="20">
        <v>5.32</v>
      </c>
      <c r="AA111" s="20">
        <v>0.25</v>
      </c>
      <c r="AB111" s="20">
        <v>0.67</v>
      </c>
      <c r="AC111" s="20">
        <v>0.06</v>
      </c>
    </row>
    <row r="112" spans="1:29" x14ac:dyDescent="0.25">
      <c r="A112" s="7">
        <v>511</v>
      </c>
      <c r="B112" s="3" t="s">
        <v>5</v>
      </c>
      <c r="C112" s="3" t="s">
        <v>180</v>
      </c>
      <c r="D112" s="20">
        <v>49.5</v>
      </c>
      <c r="E112" s="20">
        <v>0.43</v>
      </c>
      <c r="F112" s="20">
        <v>0.93</v>
      </c>
      <c r="G112" s="20">
        <v>0.06</v>
      </c>
      <c r="H112" s="20">
        <v>13.25</v>
      </c>
      <c r="I112" s="20">
        <v>0.14000000000000001</v>
      </c>
      <c r="J112" s="20">
        <v>0.15</v>
      </c>
      <c r="K112" s="20">
        <v>0.03</v>
      </c>
      <c r="L112" s="20">
        <v>13</v>
      </c>
      <c r="M112" s="20">
        <v>0.08</v>
      </c>
      <c r="N112" s="20">
        <v>0.24</v>
      </c>
      <c r="O112" s="20">
        <v>0.01</v>
      </c>
      <c r="P112" s="20">
        <v>8.31</v>
      </c>
      <c r="Q112" s="20">
        <v>0.1</v>
      </c>
      <c r="R112" s="20">
        <v>6.04</v>
      </c>
      <c r="S112" s="20">
        <v>0.04</v>
      </c>
      <c r="T112" s="20">
        <v>4.1500000000000004</v>
      </c>
      <c r="U112" s="20">
        <v>0.21</v>
      </c>
      <c r="V112" s="20">
        <v>1.07</v>
      </c>
      <c r="W112" s="20">
        <v>0.06</v>
      </c>
      <c r="X112" s="20">
        <v>1.39</v>
      </c>
      <c r="Y112" s="20">
        <v>0.08</v>
      </c>
      <c r="Z112" s="20">
        <v>1.52</v>
      </c>
      <c r="AA112" s="20">
        <v>0.03</v>
      </c>
      <c r="AB112" s="20">
        <v>0.35</v>
      </c>
      <c r="AC112" s="20">
        <v>0.01</v>
      </c>
    </row>
    <row r="113" spans="1:29" x14ac:dyDescent="0.25">
      <c r="A113" s="7">
        <v>512</v>
      </c>
      <c r="B113" s="3" t="s">
        <v>4</v>
      </c>
      <c r="C113" s="3" t="s">
        <v>181</v>
      </c>
      <c r="D113" s="20">
        <v>49.4</v>
      </c>
      <c r="E113" s="20">
        <v>0.44</v>
      </c>
      <c r="F113" s="20">
        <v>0.92</v>
      </c>
      <c r="G113" s="20">
        <v>7.0000000000000007E-2</v>
      </c>
      <c r="H113" s="20">
        <v>12.89</v>
      </c>
      <c r="I113" s="20">
        <v>0.14000000000000001</v>
      </c>
      <c r="J113" s="20">
        <v>0.17</v>
      </c>
      <c r="K113" s="20">
        <v>0.03</v>
      </c>
      <c r="L113" s="20">
        <v>13.4</v>
      </c>
      <c r="M113" s="20">
        <v>0.09</v>
      </c>
      <c r="N113" s="20">
        <v>0.25</v>
      </c>
      <c r="O113" s="20">
        <v>0.01</v>
      </c>
      <c r="P113" s="20">
        <v>8.2799999999999994</v>
      </c>
      <c r="Q113" s="20">
        <v>0.1</v>
      </c>
      <c r="R113" s="20">
        <v>6.04</v>
      </c>
      <c r="S113" s="20">
        <v>0.04</v>
      </c>
      <c r="T113" s="20">
        <v>3.83</v>
      </c>
      <c r="U113" s="20">
        <v>0.21</v>
      </c>
      <c r="V113" s="20">
        <v>0.96</v>
      </c>
      <c r="W113" s="20">
        <v>0.06</v>
      </c>
      <c r="X113" s="20">
        <v>1.29</v>
      </c>
      <c r="Y113" s="20">
        <v>0.08</v>
      </c>
      <c r="Z113" s="20">
        <v>2.12</v>
      </c>
      <c r="AA113" s="20">
        <v>0.04</v>
      </c>
      <c r="AB113" s="20">
        <v>0.44</v>
      </c>
      <c r="AC113" s="20">
        <v>0.01</v>
      </c>
    </row>
    <row r="114" spans="1:29" x14ac:dyDescent="0.25">
      <c r="A114" s="7">
        <v>532</v>
      </c>
      <c r="B114" s="3" t="s">
        <v>4</v>
      </c>
      <c r="C114" s="3" t="s">
        <v>182</v>
      </c>
      <c r="D114" s="20">
        <v>53.5</v>
      </c>
      <c r="E114" s="20">
        <v>0.45</v>
      </c>
      <c r="F114" s="20">
        <v>1.24</v>
      </c>
      <c r="G114" s="20">
        <v>7.0000000000000007E-2</v>
      </c>
      <c r="H114" s="20">
        <v>13.33</v>
      </c>
      <c r="I114" s="20">
        <v>0.14000000000000001</v>
      </c>
      <c r="J114" s="20">
        <v>0.09</v>
      </c>
      <c r="K114" s="20">
        <v>0.03</v>
      </c>
      <c r="L114" s="20">
        <v>8.1</v>
      </c>
      <c r="M114" s="20">
        <v>0.06</v>
      </c>
      <c r="N114" s="20">
        <v>0.15</v>
      </c>
      <c r="O114" s="20">
        <v>0.01</v>
      </c>
      <c r="P114" s="20">
        <v>5.2</v>
      </c>
      <c r="Q114" s="20">
        <v>0.09</v>
      </c>
      <c r="R114" s="20">
        <v>5.64</v>
      </c>
      <c r="S114" s="20">
        <v>0.04</v>
      </c>
      <c r="T114" s="20">
        <v>2.61</v>
      </c>
      <c r="U114" s="20">
        <v>0.24</v>
      </c>
      <c r="V114" s="20">
        <v>0.97</v>
      </c>
      <c r="W114" s="20">
        <v>0.06</v>
      </c>
      <c r="X114" s="20">
        <v>3.23</v>
      </c>
      <c r="Y114" s="20">
        <v>0.1</v>
      </c>
      <c r="Z114" s="20">
        <v>5.08</v>
      </c>
      <c r="AA114" s="20">
        <v>0.06</v>
      </c>
      <c r="AB114" s="20">
        <v>0.72</v>
      </c>
      <c r="AC114" s="20">
        <v>0.01</v>
      </c>
    </row>
    <row r="115" spans="1:29" x14ac:dyDescent="0.25">
      <c r="A115" s="7">
        <v>533</v>
      </c>
      <c r="B115" s="3" t="s">
        <v>5</v>
      </c>
      <c r="C115" s="3" t="s">
        <v>183</v>
      </c>
      <c r="D115" s="20">
        <v>52.6</v>
      </c>
      <c r="E115" s="20">
        <v>0.48</v>
      </c>
      <c r="F115" s="20">
        <v>1.58</v>
      </c>
      <c r="G115" s="20">
        <v>0.08</v>
      </c>
      <c r="H115" s="20">
        <v>12.93</v>
      </c>
      <c r="I115" s="20">
        <v>0.17</v>
      </c>
      <c r="J115" s="20">
        <v>0.19</v>
      </c>
      <c r="K115" s="20">
        <v>0.03</v>
      </c>
      <c r="L115" s="20">
        <v>7.3</v>
      </c>
      <c r="M115" s="20">
        <v>0.05</v>
      </c>
      <c r="N115" s="20">
        <v>0.12</v>
      </c>
      <c r="O115" s="20">
        <v>0.01</v>
      </c>
      <c r="P115" s="20">
        <v>5.6</v>
      </c>
      <c r="Q115" s="20">
        <v>0.11</v>
      </c>
      <c r="R115" s="20">
        <v>6.6</v>
      </c>
      <c r="S115" s="20">
        <v>0.05</v>
      </c>
      <c r="T115" s="20">
        <v>3.05</v>
      </c>
      <c r="U115" s="20">
        <v>0.24</v>
      </c>
      <c r="V115" s="20">
        <v>0.6</v>
      </c>
      <c r="W115" s="20">
        <v>0.06</v>
      </c>
      <c r="X115" s="20">
        <v>2.31</v>
      </c>
      <c r="Y115" s="20">
        <v>0.09</v>
      </c>
      <c r="Z115" s="20">
        <v>6.16</v>
      </c>
      <c r="AA115" s="20">
        <v>0.08</v>
      </c>
      <c r="AB115" s="20">
        <v>0.61</v>
      </c>
      <c r="AC115" s="20">
        <v>0.01</v>
      </c>
    </row>
    <row r="116" spans="1:29" x14ac:dyDescent="0.25">
      <c r="A116" s="7">
        <v>542</v>
      </c>
      <c r="B116" s="3" t="s">
        <v>5</v>
      </c>
      <c r="C116" s="3" t="s">
        <v>184</v>
      </c>
      <c r="D116" s="20">
        <v>54.9</v>
      </c>
      <c r="E116" s="20">
        <v>0.47</v>
      </c>
      <c r="F116" s="20">
        <v>1.88</v>
      </c>
      <c r="G116" s="20">
        <v>0.08</v>
      </c>
      <c r="H116" s="20">
        <v>18.690000000000001</v>
      </c>
      <c r="I116" s="20">
        <v>0.18</v>
      </c>
      <c r="J116" s="20">
        <v>0.04</v>
      </c>
      <c r="K116" s="20">
        <v>0.03</v>
      </c>
      <c r="L116" s="20">
        <v>3.9</v>
      </c>
      <c r="M116" s="20">
        <v>0.03</v>
      </c>
      <c r="N116" s="20">
        <v>0.08</v>
      </c>
      <c r="O116" s="20">
        <v>0</v>
      </c>
      <c r="P116" s="20">
        <v>3.38</v>
      </c>
      <c r="Q116" s="20">
        <v>0.09</v>
      </c>
      <c r="R116" s="20">
        <v>7.28</v>
      </c>
      <c r="S116" s="20">
        <v>0.05</v>
      </c>
      <c r="T116" s="20">
        <v>3.18</v>
      </c>
      <c r="U116" s="20">
        <v>0.24</v>
      </c>
      <c r="V116" s="20">
        <v>0.52</v>
      </c>
      <c r="W116" s="20">
        <v>0.06</v>
      </c>
      <c r="X116" s="20">
        <v>3.48</v>
      </c>
      <c r="Y116" s="20">
        <v>0.1</v>
      </c>
      <c r="Z116" s="20">
        <v>2.2000000000000002</v>
      </c>
      <c r="AA116" s="20">
        <v>0.04</v>
      </c>
      <c r="AB116" s="20">
        <v>0.3</v>
      </c>
      <c r="AC116" s="20">
        <v>0.01</v>
      </c>
    </row>
    <row r="117" spans="1:29" x14ac:dyDescent="0.25">
      <c r="A117" s="7">
        <v>552</v>
      </c>
      <c r="B117" s="3" t="s">
        <v>4</v>
      </c>
      <c r="C117" s="3" t="s">
        <v>185</v>
      </c>
      <c r="D117" s="20">
        <v>45.3</v>
      </c>
      <c r="E117" s="20">
        <v>0.28999999999999998</v>
      </c>
      <c r="F117" s="20">
        <v>0.97</v>
      </c>
      <c r="G117" s="20">
        <v>7.0000000000000007E-2</v>
      </c>
      <c r="H117" s="20">
        <v>9.93</v>
      </c>
      <c r="I117" s="20">
        <v>0.1</v>
      </c>
      <c r="J117" s="20">
        <v>0.17</v>
      </c>
      <c r="K117" s="20">
        <v>0.03</v>
      </c>
      <c r="L117" s="20">
        <v>14.3</v>
      </c>
      <c r="M117" s="20">
        <v>0.06</v>
      </c>
      <c r="N117" s="20">
        <v>0.24</v>
      </c>
      <c r="O117" s="20">
        <v>0.01</v>
      </c>
      <c r="P117" s="20">
        <v>9.35</v>
      </c>
      <c r="Q117" s="20">
        <v>0.09</v>
      </c>
      <c r="R117" s="20">
        <v>5.56</v>
      </c>
      <c r="S117" s="20">
        <v>0.04</v>
      </c>
      <c r="T117" s="20">
        <v>3.14</v>
      </c>
      <c r="U117" s="20">
        <v>0.19</v>
      </c>
      <c r="V117" s="20">
        <v>0.61</v>
      </c>
      <c r="W117" s="20">
        <v>0.06</v>
      </c>
      <c r="X117" s="20">
        <v>1.38</v>
      </c>
      <c r="Y117" s="20">
        <v>0.08</v>
      </c>
      <c r="Z117" s="20">
        <v>7.64</v>
      </c>
      <c r="AA117" s="20">
        <v>0.08</v>
      </c>
      <c r="AB117" s="20">
        <v>1.3</v>
      </c>
      <c r="AC117" s="20">
        <v>0.02</v>
      </c>
    </row>
    <row r="118" spans="1:29" x14ac:dyDescent="0.25">
      <c r="A118" s="7">
        <v>553</v>
      </c>
      <c r="B118" s="3" t="s">
        <v>5</v>
      </c>
      <c r="C118" s="3" t="s">
        <v>186</v>
      </c>
      <c r="D118" s="20">
        <v>45.2</v>
      </c>
      <c r="E118" s="20">
        <v>0.31</v>
      </c>
      <c r="F118" s="20">
        <v>1</v>
      </c>
      <c r="G118" s="20">
        <v>7.0000000000000007E-2</v>
      </c>
      <c r="H118" s="20">
        <v>9.82</v>
      </c>
      <c r="I118" s="20">
        <v>0.1</v>
      </c>
      <c r="J118" s="20">
        <v>0.18</v>
      </c>
      <c r="K118" s="20">
        <v>0.03</v>
      </c>
      <c r="L118" s="20">
        <v>14.2</v>
      </c>
      <c r="M118" s="20">
        <v>0.06</v>
      </c>
      <c r="N118" s="20">
        <v>0.26</v>
      </c>
      <c r="O118" s="20">
        <v>0.01</v>
      </c>
      <c r="P118" s="20">
        <v>9.67</v>
      </c>
      <c r="Q118" s="20">
        <v>0.1</v>
      </c>
      <c r="R118" s="20">
        <v>5.41</v>
      </c>
      <c r="S118" s="20">
        <v>0.04</v>
      </c>
      <c r="T118" s="20">
        <v>3.15</v>
      </c>
      <c r="U118" s="20">
        <v>0.19</v>
      </c>
      <c r="V118" s="20">
        <v>0.64</v>
      </c>
      <c r="W118" s="20">
        <v>0.06</v>
      </c>
      <c r="X118" s="20">
        <v>1.4</v>
      </c>
      <c r="Y118" s="20">
        <v>0.08</v>
      </c>
      <c r="Z118" s="20">
        <v>7.59</v>
      </c>
      <c r="AA118" s="20">
        <v>0.08</v>
      </c>
      <c r="AB118" s="20">
        <v>1.39</v>
      </c>
      <c r="AC118" s="20">
        <v>0.02</v>
      </c>
    </row>
    <row r="119" spans="1:29" x14ac:dyDescent="0.25">
      <c r="A119" s="7">
        <v>557</v>
      </c>
      <c r="B119" s="3" t="s">
        <v>4</v>
      </c>
      <c r="C119" s="3" t="s">
        <v>187</v>
      </c>
      <c r="D119" s="20">
        <v>48.4</v>
      </c>
      <c r="E119" s="20">
        <v>0.44</v>
      </c>
      <c r="F119" s="20">
        <v>2.38</v>
      </c>
      <c r="G119" s="20">
        <v>0.09</v>
      </c>
      <c r="H119" s="20">
        <v>12.26</v>
      </c>
      <c r="I119" s="20">
        <v>0.17</v>
      </c>
      <c r="J119" s="20">
        <v>0.05</v>
      </c>
      <c r="K119" s="20">
        <v>0.03</v>
      </c>
      <c r="L119" s="20">
        <v>10.199999999999999</v>
      </c>
      <c r="M119" s="20">
        <v>7.0000000000000007E-2</v>
      </c>
      <c r="N119" s="20">
        <v>0.21</v>
      </c>
      <c r="O119" s="20">
        <v>0.01</v>
      </c>
      <c r="P119" s="20">
        <v>5.44</v>
      </c>
      <c r="Q119" s="20">
        <v>0.1</v>
      </c>
      <c r="R119" s="20">
        <v>8.01</v>
      </c>
      <c r="S119" s="20">
        <v>0.06</v>
      </c>
      <c r="T119" s="20">
        <v>3.92</v>
      </c>
      <c r="U119" s="20">
        <v>0.24</v>
      </c>
      <c r="V119" s="20">
        <v>1.47</v>
      </c>
      <c r="W119" s="20">
        <v>7.0000000000000007E-2</v>
      </c>
      <c r="X119" s="20">
        <v>3.24</v>
      </c>
      <c r="Y119" s="20">
        <v>0.1</v>
      </c>
      <c r="Z119" s="20">
        <v>3.5</v>
      </c>
      <c r="AA119" s="20">
        <v>0.05</v>
      </c>
      <c r="AB119" s="20">
        <v>0.83</v>
      </c>
      <c r="AC119" s="20">
        <v>0.01</v>
      </c>
    </row>
    <row r="120" spans="1:29" x14ac:dyDescent="0.25">
      <c r="A120" s="7">
        <v>560</v>
      </c>
      <c r="B120" s="3" t="s">
        <v>5</v>
      </c>
      <c r="C120" s="3" t="s">
        <v>188</v>
      </c>
      <c r="D120" s="20">
        <v>46.3</v>
      </c>
      <c r="E120" s="20">
        <v>0.42</v>
      </c>
      <c r="F120" s="20">
        <v>0.91</v>
      </c>
      <c r="G120" s="20">
        <v>7.0000000000000007E-2</v>
      </c>
      <c r="H120" s="20">
        <v>10.89</v>
      </c>
      <c r="I120" s="20">
        <v>0.13</v>
      </c>
      <c r="J120" s="20">
        <v>0.13</v>
      </c>
      <c r="K120" s="20">
        <v>0.03</v>
      </c>
      <c r="L120" s="20">
        <v>13.3</v>
      </c>
      <c r="M120" s="20">
        <v>0.09</v>
      </c>
      <c r="N120" s="20">
        <v>0.2</v>
      </c>
      <c r="O120" s="20">
        <v>0.01</v>
      </c>
      <c r="P120" s="20">
        <v>9.33</v>
      </c>
      <c r="Q120" s="20">
        <v>0.12</v>
      </c>
      <c r="R120" s="20">
        <v>5.19</v>
      </c>
      <c r="S120" s="20">
        <v>0.04</v>
      </c>
      <c r="T120" s="20">
        <v>3.41</v>
      </c>
      <c r="U120" s="20">
        <v>0.22</v>
      </c>
      <c r="V120" s="20">
        <v>0.77</v>
      </c>
      <c r="W120" s="20">
        <v>0.06</v>
      </c>
      <c r="X120" s="20">
        <v>1.5</v>
      </c>
      <c r="Y120" s="20">
        <v>0.08</v>
      </c>
      <c r="Z120" s="20">
        <v>6.9</v>
      </c>
      <c r="AA120" s="20">
        <v>0.08</v>
      </c>
      <c r="AB120" s="20">
        <v>1.07</v>
      </c>
      <c r="AC120" s="20">
        <v>0.02</v>
      </c>
    </row>
    <row r="121" spans="1:29" x14ac:dyDescent="0.25">
      <c r="A121" s="7">
        <v>563</v>
      </c>
      <c r="B121" s="3" t="s">
        <v>4</v>
      </c>
      <c r="C121" s="3" t="s">
        <v>189</v>
      </c>
      <c r="D121" s="20">
        <v>47.5</v>
      </c>
      <c r="E121" s="20">
        <v>0.43</v>
      </c>
      <c r="F121" s="20">
        <v>1.02</v>
      </c>
      <c r="G121" s="20">
        <v>7.0000000000000007E-2</v>
      </c>
      <c r="H121" s="20">
        <v>10.91</v>
      </c>
      <c r="I121" s="20">
        <v>0.13</v>
      </c>
      <c r="J121" s="20">
        <v>0.16</v>
      </c>
      <c r="K121" s="20">
        <v>0.03</v>
      </c>
      <c r="L121" s="20">
        <v>11.2</v>
      </c>
      <c r="M121" s="20">
        <v>0.08</v>
      </c>
      <c r="N121" s="20">
        <v>0.19</v>
      </c>
      <c r="O121" s="20">
        <v>0.01</v>
      </c>
      <c r="P121" s="20">
        <v>9.1199999999999992</v>
      </c>
      <c r="Q121" s="20">
        <v>0.12</v>
      </c>
      <c r="R121" s="20">
        <v>5.67</v>
      </c>
      <c r="S121" s="20">
        <v>0.04</v>
      </c>
      <c r="T121" s="20">
        <v>3.11</v>
      </c>
      <c r="U121" s="20">
        <v>0.23</v>
      </c>
      <c r="V121" s="20">
        <v>0.52</v>
      </c>
      <c r="W121" s="20">
        <v>0.06</v>
      </c>
      <c r="X121" s="20">
        <v>1.39</v>
      </c>
      <c r="Y121" s="20">
        <v>0.08</v>
      </c>
      <c r="Z121" s="20">
        <v>7.93</v>
      </c>
      <c r="AA121" s="20">
        <v>0.09</v>
      </c>
      <c r="AB121" s="20">
        <v>1.0900000000000001</v>
      </c>
      <c r="AC121" s="20">
        <v>0.02</v>
      </c>
    </row>
    <row r="122" spans="1:29" x14ac:dyDescent="0.25">
      <c r="A122" s="7">
        <v>566</v>
      </c>
      <c r="B122" s="3" t="s">
        <v>4</v>
      </c>
      <c r="C122" s="3" t="s">
        <v>190</v>
      </c>
      <c r="D122" s="20">
        <v>51</v>
      </c>
      <c r="E122" s="20">
        <v>0.33</v>
      </c>
      <c r="F122" s="20">
        <v>0.79</v>
      </c>
      <c r="G122" s="20">
        <v>0.06</v>
      </c>
      <c r="H122" s="20">
        <v>17.39</v>
      </c>
      <c r="I122" s="20">
        <v>0.15</v>
      </c>
      <c r="J122" s="20">
        <v>2.86</v>
      </c>
      <c r="K122" s="20">
        <v>0.05</v>
      </c>
      <c r="L122" s="20">
        <v>6.4</v>
      </c>
      <c r="M122" s="20">
        <v>0.04</v>
      </c>
      <c r="N122" s="20">
        <v>0.15</v>
      </c>
      <c r="O122" s="20">
        <v>0.01</v>
      </c>
      <c r="P122" s="20">
        <v>8.2100000000000009</v>
      </c>
      <c r="Q122" s="20">
        <v>0.09</v>
      </c>
      <c r="R122" s="20">
        <v>3.77</v>
      </c>
      <c r="S122" s="20">
        <v>0.03</v>
      </c>
      <c r="T122" s="20">
        <v>1.7</v>
      </c>
      <c r="U122" s="20">
        <v>0.17</v>
      </c>
      <c r="V122" s="20">
        <v>0.93</v>
      </c>
      <c r="W122" s="20">
        <v>0.06</v>
      </c>
      <c r="X122" s="20">
        <v>1.6</v>
      </c>
      <c r="Y122" s="20">
        <v>0.08</v>
      </c>
      <c r="Z122" s="20">
        <v>4.03</v>
      </c>
      <c r="AA122" s="20">
        <v>0.05</v>
      </c>
      <c r="AB122" s="20">
        <v>0.92</v>
      </c>
      <c r="AC122" s="20">
        <v>0.02</v>
      </c>
    </row>
    <row r="123" spans="1:29" x14ac:dyDescent="0.25">
      <c r="A123" s="7">
        <v>571</v>
      </c>
      <c r="B123" s="3" t="s">
        <v>4</v>
      </c>
      <c r="C123" s="3" t="s">
        <v>191</v>
      </c>
      <c r="D123" s="20">
        <v>50.4</v>
      </c>
      <c r="E123" s="20">
        <v>0.47</v>
      </c>
      <c r="F123" s="20">
        <v>1.05</v>
      </c>
      <c r="G123" s="20">
        <v>7.0000000000000007E-2</v>
      </c>
      <c r="H123" s="20">
        <v>16.62</v>
      </c>
      <c r="I123" s="20">
        <v>0.19</v>
      </c>
      <c r="J123" s="20">
        <v>2.69</v>
      </c>
      <c r="K123" s="20">
        <v>0.05</v>
      </c>
      <c r="L123" s="20">
        <v>6.7</v>
      </c>
      <c r="M123" s="20">
        <v>0.05</v>
      </c>
      <c r="N123" s="20">
        <v>0.15</v>
      </c>
      <c r="O123" s="20">
        <v>0.01</v>
      </c>
      <c r="P123" s="20">
        <v>7.53</v>
      </c>
      <c r="Q123" s="20">
        <v>0.12</v>
      </c>
      <c r="R123" s="20">
        <v>4.7</v>
      </c>
      <c r="S123" s="20">
        <v>0.04</v>
      </c>
      <c r="T123" s="20">
        <v>1.88</v>
      </c>
      <c r="U123" s="20">
        <v>0.24</v>
      </c>
      <c r="V123" s="20">
        <v>1</v>
      </c>
      <c r="W123" s="20">
        <v>0.06</v>
      </c>
      <c r="X123" s="20">
        <v>1.85</v>
      </c>
      <c r="Y123" s="20">
        <v>0.09</v>
      </c>
      <c r="Z123" s="20">
        <v>4.22</v>
      </c>
      <c r="AA123" s="20">
        <v>0.06</v>
      </c>
      <c r="AB123" s="20">
        <v>0.96</v>
      </c>
      <c r="AC123" s="20">
        <v>0.02</v>
      </c>
    </row>
    <row r="124" spans="1:29" x14ac:dyDescent="0.25">
      <c r="A124" s="7">
        <v>587</v>
      </c>
      <c r="B124" s="3" t="s">
        <v>3</v>
      </c>
      <c r="C124" s="20" t="s">
        <v>192</v>
      </c>
      <c r="D124" s="20">
        <v>45.4</v>
      </c>
      <c r="E124" s="20">
        <v>0.42</v>
      </c>
      <c r="F124" s="20">
        <v>0.86</v>
      </c>
      <c r="G124" s="20">
        <v>0.06</v>
      </c>
      <c r="H124" s="20">
        <v>9.7899999999999991</v>
      </c>
      <c r="I124" s="20">
        <v>0.12</v>
      </c>
      <c r="J124" s="20">
        <v>0.26</v>
      </c>
      <c r="K124" s="20">
        <v>0.03</v>
      </c>
      <c r="L124" s="20">
        <v>15.7</v>
      </c>
      <c r="M124" s="20">
        <v>0.1</v>
      </c>
      <c r="N124" s="20">
        <v>0.31</v>
      </c>
      <c r="O124" s="20">
        <v>0.01</v>
      </c>
      <c r="P124" s="20">
        <v>8.61</v>
      </c>
      <c r="Q124" s="20">
        <v>0.13</v>
      </c>
      <c r="R124" s="20">
        <v>6.08</v>
      </c>
      <c r="S124" s="20">
        <v>0.04</v>
      </c>
      <c r="T124" s="20">
        <v>3.18</v>
      </c>
      <c r="U124" s="20">
        <v>0.28000000000000003</v>
      </c>
      <c r="V124" s="20">
        <v>0.45</v>
      </c>
      <c r="W124" s="20">
        <v>0.06</v>
      </c>
      <c r="X124" s="20">
        <v>0.93</v>
      </c>
      <c r="Y124" s="20">
        <v>7.0000000000000007E-2</v>
      </c>
      <c r="Z124" s="20">
        <v>7.42</v>
      </c>
      <c r="AA124" s="20">
        <v>0.08</v>
      </c>
      <c r="AB124" s="20">
        <v>0.83</v>
      </c>
      <c r="AC124" s="20">
        <v>0.01</v>
      </c>
    </row>
    <row r="125" spans="1:29" x14ac:dyDescent="0.25">
      <c r="A125" s="7">
        <v>588</v>
      </c>
      <c r="B125" s="3" t="s">
        <v>8</v>
      </c>
      <c r="C125" s="20" t="s">
        <v>193</v>
      </c>
      <c r="D125" s="20">
        <v>45.6</v>
      </c>
      <c r="E125" s="20">
        <v>0.4</v>
      </c>
      <c r="F125" s="20">
        <v>0.87</v>
      </c>
      <c r="G125" s="20">
        <v>0.06</v>
      </c>
      <c r="H125" s="20">
        <v>9.86</v>
      </c>
      <c r="I125" s="20">
        <v>0.11</v>
      </c>
      <c r="J125" s="20">
        <v>0.28000000000000003</v>
      </c>
      <c r="K125" s="20">
        <v>0.03</v>
      </c>
      <c r="L125" s="20">
        <v>15.8</v>
      </c>
      <c r="M125" s="20">
        <v>0.1</v>
      </c>
      <c r="N125" s="20">
        <v>0.31</v>
      </c>
      <c r="O125" s="20">
        <v>0.01</v>
      </c>
      <c r="P125" s="20">
        <v>8.84</v>
      </c>
      <c r="Q125" s="20">
        <v>0.1</v>
      </c>
      <c r="R125" s="20">
        <v>6.1</v>
      </c>
      <c r="S125" s="20">
        <v>0.04</v>
      </c>
      <c r="T125" s="20">
        <v>3.17</v>
      </c>
      <c r="U125" s="20">
        <v>0.2</v>
      </c>
      <c r="V125" s="20">
        <v>0.43</v>
      </c>
      <c r="W125" s="20">
        <v>0.06</v>
      </c>
      <c r="X125" s="20">
        <v>0.93</v>
      </c>
      <c r="Y125" s="20">
        <v>7.0000000000000007E-2</v>
      </c>
      <c r="Z125" s="20">
        <v>6.95</v>
      </c>
      <c r="AA125" s="20">
        <v>0.08</v>
      </c>
      <c r="AB125" s="20">
        <v>0.76</v>
      </c>
      <c r="AC125" s="20">
        <v>0.01</v>
      </c>
    </row>
    <row r="126" spans="1:29" x14ac:dyDescent="0.25">
      <c r="A126" s="7">
        <v>600</v>
      </c>
      <c r="B126" s="3" t="s">
        <v>4</v>
      </c>
      <c r="C126" s="3" t="s">
        <v>194</v>
      </c>
      <c r="D126" s="20">
        <v>47</v>
      </c>
      <c r="E126" s="20">
        <v>0.34</v>
      </c>
      <c r="F126" s="20">
        <v>1.06</v>
      </c>
      <c r="G126" s="20">
        <v>0.06</v>
      </c>
      <c r="H126" s="20">
        <v>8.2899999999999991</v>
      </c>
      <c r="I126" s="20">
        <v>0.09</v>
      </c>
      <c r="J126" s="20">
        <v>0.2</v>
      </c>
      <c r="K126" s="20">
        <v>0.03</v>
      </c>
      <c r="L126" s="20">
        <v>19.2</v>
      </c>
      <c r="M126" s="20">
        <v>0.08</v>
      </c>
      <c r="N126" s="20">
        <v>0.36</v>
      </c>
      <c r="O126" s="20">
        <v>0.01</v>
      </c>
      <c r="P126" s="20">
        <v>10.63</v>
      </c>
      <c r="Q126" s="20">
        <v>0.12</v>
      </c>
      <c r="R126" s="20">
        <v>6.03</v>
      </c>
      <c r="S126" s="20">
        <v>0.04</v>
      </c>
      <c r="T126" s="20">
        <v>2.68</v>
      </c>
      <c r="U126" s="20">
        <v>0.26</v>
      </c>
      <c r="V126" s="20">
        <v>0.68</v>
      </c>
      <c r="W126" s="20">
        <v>0.06</v>
      </c>
      <c r="X126" s="20">
        <v>0.97</v>
      </c>
      <c r="Y126" s="20">
        <v>7.0000000000000007E-2</v>
      </c>
      <c r="Z126" s="20">
        <v>2.37</v>
      </c>
      <c r="AA126" s="20">
        <v>0.03</v>
      </c>
      <c r="AB126" s="20">
        <v>0.45</v>
      </c>
      <c r="AC126" s="20">
        <v>0.01</v>
      </c>
    </row>
    <row r="127" spans="1:29" x14ac:dyDescent="0.25">
      <c r="A127" s="7">
        <v>607</v>
      </c>
      <c r="B127" s="3" t="s">
        <v>8</v>
      </c>
      <c r="C127" s="20" t="s">
        <v>195</v>
      </c>
      <c r="D127" s="20">
        <v>47</v>
      </c>
      <c r="E127" s="20">
        <v>0.4</v>
      </c>
      <c r="F127" s="20">
        <v>1.17</v>
      </c>
      <c r="G127" s="20">
        <v>7.0000000000000007E-2</v>
      </c>
      <c r="H127" s="20">
        <v>11.38</v>
      </c>
      <c r="I127" s="20">
        <v>0.12</v>
      </c>
      <c r="J127" s="20">
        <v>0.28000000000000003</v>
      </c>
      <c r="K127" s="20">
        <v>0.03</v>
      </c>
      <c r="L127" s="20">
        <v>14.4</v>
      </c>
      <c r="M127" s="20">
        <v>0.09</v>
      </c>
      <c r="N127" s="20">
        <v>0.28000000000000003</v>
      </c>
      <c r="O127" s="20">
        <v>0.01</v>
      </c>
      <c r="P127" s="20">
        <v>8.1300000000000008</v>
      </c>
      <c r="Q127" s="20">
        <v>0.1</v>
      </c>
      <c r="R127" s="20">
        <v>6.33</v>
      </c>
      <c r="S127" s="20">
        <v>0.04</v>
      </c>
      <c r="T127" s="20">
        <v>3.48</v>
      </c>
      <c r="U127" s="20">
        <v>0.2</v>
      </c>
      <c r="V127" s="20">
        <v>0.46</v>
      </c>
      <c r="W127" s="20">
        <v>0.06</v>
      </c>
      <c r="X127" s="20">
        <v>1.1100000000000001</v>
      </c>
      <c r="Y127" s="20">
        <v>7.0000000000000007E-2</v>
      </c>
      <c r="Z127" s="20">
        <v>5.28</v>
      </c>
      <c r="AA127" s="20">
        <v>0.06</v>
      </c>
      <c r="AB127" s="20">
        <v>0.6</v>
      </c>
      <c r="AC127" s="20">
        <v>0.01</v>
      </c>
    </row>
    <row r="128" spans="1:29" x14ac:dyDescent="0.25">
      <c r="A128" s="7">
        <v>611</v>
      </c>
      <c r="B128" s="3" t="s">
        <v>3</v>
      </c>
      <c r="C128" s="20" t="s">
        <v>196</v>
      </c>
      <c r="D128" s="20">
        <v>47.7</v>
      </c>
      <c r="E128" s="20">
        <v>0.42</v>
      </c>
      <c r="F128" s="20">
        <v>1.2</v>
      </c>
      <c r="G128" s="20">
        <v>7.0000000000000007E-2</v>
      </c>
      <c r="H128" s="20">
        <v>12.34</v>
      </c>
      <c r="I128" s="20">
        <v>0.13</v>
      </c>
      <c r="J128" s="20">
        <v>0.13</v>
      </c>
      <c r="K128" s="20">
        <v>0.03</v>
      </c>
      <c r="L128" s="20">
        <v>10.8</v>
      </c>
      <c r="M128" s="20">
        <v>7.0000000000000007E-2</v>
      </c>
      <c r="N128" s="20">
        <v>0.22</v>
      </c>
      <c r="O128" s="20">
        <v>0.01</v>
      </c>
      <c r="P128" s="20">
        <v>7.24</v>
      </c>
      <c r="Q128" s="20">
        <v>0.1</v>
      </c>
      <c r="R128" s="20">
        <v>7.13</v>
      </c>
      <c r="S128" s="20">
        <v>0.05</v>
      </c>
      <c r="T128" s="20">
        <v>3.6</v>
      </c>
      <c r="U128" s="20">
        <v>0.21</v>
      </c>
      <c r="V128" s="20">
        <v>0.51</v>
      </c>
      <c r="W128" s="20">
        <v>0.06</v>
      </c>
      <c r="X128" s="20">
        <v>2.1</v>
      </c>
      <c r="Y128" s="20">
        <v>0.08</v>
      </c>
      <c r="Z128" s="20">
        <v>6.16</v>
      </c>
      <c r="AA128" s="20">
        <v>7.0000000000000007E-2</v>
      </c>
      <c r="AB128" s="20">
        <v>0.78</v>
      </c>
      <c r="AC128" s="20">
        <v>0.01</v>
      </c>
    </row>
    <row r="129" spans="1:29" x14ac:dyDescent="0.25">
      <c r="A129" s="7">
        <v>630</v>
      </c>
      <c r="B129" s="3" t="s">
        <v>4</v>
      </c>
      <c r="C129" s="3" t="s">
        <v>197</v>
      </c>
      <c r="D129" s="20">
        <v>46.8</v>
      </c>
      <c r="E129" s="20">
        <v>0.44</v>
      </c>
      <c r="F129" s="20">
        <v>1.91</v>
      </c>
      <c r="G129" s="20">
        <v>0.08</v>
      </c>
      <c r="H129" s="20">
        <v>13.37</v>
      </c>
      <c r="I129" s="20">
        <v>0.15</v>
      </c>
      <c r="J129" s="20">
        <v>0.02</v>
      </c>
      <c r="K129" s="20">
        <v>0.03</v>
      </c>
      <c r="L129" s="20">
        <v>11.2</v>
      </c>
      <c r="M129" s="20">
        <v>0.08</v>
      </c>
      <c r="N129" s="20">
        <v>0.21</v>
      </c>
      <c r="O129" s="20">
        <v>0.01</v>
      </c>
      <c r="P129" s="20">
        <v>7.9</v>
      </c>
      <c r="Q129" s="20">
        <v>0.11</v>
      </c>
      <c r="R129" s="20">
        <v>5.93</v>
      </c>
      <c r="S129" s="20">
        <v>0.05</v>
      </c>
      <c r="T129" s="20">
        <v>4</v>
      </c>
      <c r="U129" s="20">
        <v>0.25</v>
      </c>
      <c r="V129" s="20">
        <v>0.54</v>
      </c>
      <c r="W129" s="20">
        <v>0.06</v>
      </c>
      <c r="X129" s="20">
        <v>2.35</v>
      </c>
      <c r="Y129" s="20">
        <v>0.09</v>
      </c>
      <c r="Z129" s="20">
        <v>4.55</v>
      </c>
      <c r="AA129" s="20">
        <v>7.0000000000000007E-2</v>
      </c>
      <c r="AB129" s="20">
        <v>1.17</v>
      </c>
      <c r="AC129" s="20">
        <v>0.02</v>
      </c>
    </row>
    <row r="130" spans="1:29" x14ac:dyDescent="0.25">
      <c r="A130" s="7">
        <v>633</v>
      </c>
      <c r="B130" s="3" t="s">
        <v>4</v>
      </c>
      <c r="C130" s="3" t="s">
        <v>198</v>
      </c>
      <c r="D130" s="20">
        <v>46.5</v>
      </c>
      <c r="E130" s="20">
        <v>0.3</v>
      </c>
      <c r="F130" s="20">
        <v>2.2400000000000002</v>
      </c>
      <c r="G130" s="20">
        <v>0.08</v>
      </c>
      <c r="H130" s="20">
        <v>13.69</v>
      </c>
      <c r="I130" s="20">
        <v>0.12</v>
      </c>
      <c r="J130" s="20">
        <v>0.01</v>
      </c>
      <c r="K130" s="20">
        <v>0.03</v>
      </c>
      <c r="L130" s="20">
        <v>11.4</v>
      </c>
      <c r="M130" s="20">
        <v>0.05</v>
      </c>
      <c r="N130" s="20">
        <v>0.19</v>
      </c>
      <c r="O130" s="20">
        <v>0.01</v>
      </c>
      <c r="P130" s="20">
        <v>6.98</v>
      </c>
      <c r="Q130" s="20">
        <v>0.08</v>
      </c>
      <c r="R130" s="20">
        <v>6.19</v>
      </c>
      <c r="S130" s="20">
        <v>0.04</v>
      </c>
      <c r="T130" s="20">
        <v>4.0599999999999996</v>
      </c>
      <c r="U130" s="20">
        <v>0.2</v>
      </c>
      <c r="V130" s="20">
        <v>0.52</v>
      </c>
      <c r="W130" s="20">
        <v>0.06</v>
      </c>
      <c r="X130" s="20">
        <v>2.79</v>
      </c>
      <c r="Y130" s="20">
        <v>0.09</v>
      </c>
      <c r="Z130" s="20">
        <v>4.22</v>
      </c>
      <c r="AA130" s="20">
        <v>0.05</v>
      </c>
      <c r="AB130" s="20">
        <v>1.18</v>
      </c>
      <c r="AC130" s="20">
        <v>0.02</v>
      </c>
    </row>
    <row r="131" spans="1:29" x14ac:dyDescent="0.25">
      <c r="A131" s="7">
        <v>646</v>
      </c>
      <c r="B131" s="3" t="s">
        <v>5</v>
      </c>
      <c r="C131" s="3" t="s">
        <v>199</v>
      </c>
      <c r="D131" s="20">
        <v>44</v>
      </c>
      <c r="E131" s="20">
        <v>0.39</v>
      </c>
      <c r="F131" s="20">
        <v>2.12</v>
      </c>
      <c r="G131" s="20">
        <v>0.08</v>
      </c>
      <c r="H131" s="20">
        <v>9.35</v>
      </c>
      <c r="I131" s="20">
        <v>0.11</v>
      </c>
      <c r="J131" s="20">
        <v>0.08</v>
      </c>
      <c r="K131" s="20">
        <v>0.03</v>
      </c>
      <c r="L131" s="20">
        <v>13.4</v>
      </c>
      <c r="M131" s="20">
        <v>0.09</v>
      </c>
      <c r="N131" s="20">
        <v>0.28999999999999998</v>
      </c>
      <c r="O131" s="20">
        <v>0.01</v>
      </c>
      <c r="P131" s="20">
        <v>8.58</v>
      </c>
      <c r="Q131" s="20">
        <v>0.1</v>
      </c>
      <c r="R131" s="20">
        <v>6.17</v>
      </c>
      <c r="S131" s="20">
        <v>0.04</v>
      </c>
      <c r="T131" s="20">
        <v>3.41</v>
      </c>
      <c r="U131" s="20">
        <v>0.21</v>
      </c>
      <c r="V131" s="20">
        <v>0.41</v>
      </c>
      <c r="W131" s="20">
        <v>0.06</v>
      </c>
      <c r="X131" s="20">
        <v>2.2400000000000002</v>
      </c>
      <c r="Y131" s="20">
        <v>0.09</v>
      </c>
      <c r="Z131" s="20">
        <v>7.81</v>
      </c>
      <c r="AA131" s="20">
        <v>0.09</v>
      </c>
      <c r="AB131" s="20">
        <v>2.08</v>
      </c>
      <c r="AC131" s="20">
        <v>0.02</v>
      </c>
    </row>
    <row r="132" spans="1:29" x14ac:dyDescent="0.25">
      <c r="A132" s="7">
        <v>660</v>
      </c>
      <c r="B132" s="3" t="s">
        <v>5</v>
      </c>
      <c r="C132" s="3" t="s">
        <v>200</v>
      </c>
      <c r="D132" s="20">
        <v>39.700000000000003</v>
      </c>
      <c r="E132" s="20">
        <v>0.39</v>
      </c>
      <c r="F132" s="20">
        <v>1.19</v>
      </c>
      <c r="G132" s="20">
        <v>7.0000000000000007E-2</v>
      </c>
      <c r="H132" s="20">
        <v>8.49</v>
      </c>
      <c r="I132" s="20">
        <v>0.13</v>
      </c>
      <c r="J132" s="20">
        <v>0.19</v>
      </c>
      <c r="K132" s="20">
        <v>0.03</v>
      </c>
      <c r="L132" s="20">
        <v>20.5</v>
      </c>
      <c r="M132" s="20">
        <v>0.13</v>
      </c>
      <c r="N132" s="20">
        <v>0.37</v>
      </c>
      <c r="O132" s="20">
        <v>0.01</v>
      </c>
      <c r="P132" s="20">
        <v>11.18</v>
      </c>
      <c r="Q132" s="20">
        <v>0.15</v>
      </c>
      <c r="R132" s="20">
        <v>6.4</v>
      </c>
      <c r="S132" s="20">
        <v>0.05</v>
      </c>
      <c r="T132" s="20">
        <v>2.78</v>
      </c>
      <c r="U132" s="20">
        <v>0.28999999999999998</v>
      </c>
      <c r="V132" s="20">
        <v>0.54</v>
      </c>
      <c r="W132" s="20">
        <v>0.06</v>
      </c>
      <c r="X132" s="20">
        <v>2.89</v>
      </c>
      <c r="Y132" s="20">
        <v>0.09</v>
      </c>
      <c r="Z132" s="20">
        <v>4.8</v>
      </c>
      <c r="AA132" s="20">
        <v>7.0000000000000007E-2</v>
      </c>
      <c r="AB132" s="20">
        <v>0.93</v>
      </c>
      <c r="AC132" s="20">
        <v>0.02</v>
      </c>
    </row>
    <row r="133" spans="1:29" x14ac:dyDescent="0.25">
      <c r="A133" s="7">
        <v>672</v>
      </c>
      <c r="B133" s="3" t="s">
        <v>5</v>
      </c>
      <c r="C133" s="3" t="s">
        <v>201</v>
      </c>
      <c r="D133" s="20">
        <v>43</v>
      </c>
      <c r="E133" s="20">
        <v>0.43</v>
      </c>
      <c r="F133" s="20">
        <v>0.65</v>
      </c>
      <c r="G133" s="20">
        <v>0.06</v>
      </c>
      <c r="H133" s="20">
        <v>7.05</v>
      </c>
      <c r="I133" s="20">
        <v>0.11</v>
      </c>
      <c r="J133" s="20">
        <v>0.42</v>
      </c>
      <c r="K133" s="20">
        <v>0.03</v>
      </c>
      <c r="L133" s="20">
        <v>20</v>
      </c>
      <c r="M133" s="20">
        <v>0.12</v>
      </c>
      <c r="N133" s="20">
        <v>0.36</v>
      </c>
      <c r="O133" s="20">
        <v>0.01</v>
      </c>
      <c r="P133" s="20">
        <v>13.8</v>
      </c>
      <c r="Q133" s="20">
        <v>0.19</v>
      </c>
      <c r="R133" s="20">
        <v>4</v>
      </c>
      <c r="S133" s="20">
        <v>0.03</v>
      </c>
      <c r="T133" s="20">
        <v>2.78</v>
      </c>
      <c r="U133" s="20">
        <v>0.38</v>
      </c>
      <c r="V133" s="20">
        <v>0.94</v>
      </c>
      <c r="W133" s="20">
        <v>0.06</v>
      </c>
      <c r="X133" s="20">
        <v>0.9</v>
      </c>
      <c r="Y133" s="20">
        <v>7.0000000000000007E-2</v>
      </c>
      <c r="Z133" s="20">
        <v>4.59</v>
      </c>
      <c r="AA133" s="20">
        <v>0.06</v>
      </c>
      <c r="AB133" s="20">
        <v>1.45</v>
      </c>
      <c r="AC133" s="20">
        <v>0.02</v>
      </c>
    </row>
    <row r="134" spans="1:29" x14ac:dyDescent="0.25">
      <c r="A134" s="7">
        <v>675</v>
      </c>
      <c r="B134" s="3" t="s">
        <v>5</v>
      </c>
      <c r="C134" s="3" t="s">
        <v>202</v>
      </c>
      <c r="D134" s="20">
        <v>44.1</v>
      </c>
      <c r="E134" s="20">
        <v>0.3</v>
      </c>
      <c r="F134" s="20">
        <v>0.61</v>
      </c>
      <c r="G134" s="20">
        <v>0.06</v>
      </c>
      <c r="H134" s="20">
        <v>7.72</v>
      </c>
      <c r="I134" s="20">
        <v>0.08</v>
      </c>
      <c r="J134" s="20">
        <v>0.39</v>
      </c>
      <c r="K134" s="20">
        <v>0.03</v>
      </c>
      <c r="L134" s="20">
        <v>19.3</v>
      </c>
      <c r="M134" s="20">
        <v>0.09</v>
      </c>
      <c r="N134" s="20">
        <v>0.36</v>
      </c>
      <c r="O134" s="20">
        <v>0.01</v>
      </c>
      <c r="P134" s="20">
        <v>12.38</v>
      </c>
      <c r="Q134" s="20">
        <v>0.12</v>
      </c>
      <c r="R134" s="20">
        <v>4.66</v>
      </c>
      <c r="S134" s="20">
        <v>0.03</v>
      </c>
      <c r="T134" s="20">
        <v>2.98</v>
      </c>
      <c r="U134" s="20">
        <v>0.21</v>
      </c>
      <c r="V134" s="20">
        <v>0.66</v>
      </c>
      <c r="W134" s="20">
        <v>0.06</v>
      </c>
      <c r="X134" s="20">
        <v>0.91</v>
      </c>
      <c r="Y134" s="20">
        <v>7.0000000000000007E-2</v>
      </c>
      <c r="Z134" s="20">
        <v>4.6500000000000004</v>
      </c>
      <c r="AA134" s="20">
        <v>0.05</v>
      </c>
      <c r="AB134" s="20">
        <v>1.24</v>
      </c>
      <c r="AC134" s="20">
        <v>0.02</v>
      </c>
    </row>
    <row r="135" spans="1:29" x14ac:dyDescent="0.25">
      <c r="A135" s="7">
        <v>687</v>
      </c>
      <c r="B135" s="3" t="s">
        <v>4</v>
      </c>
      <c r="C135" s="3" t="s">
        <v>203</v>
      </c>
      <c r="D135" s="20">
        <v>42.6</v>
      </c>
      <c r="E135" s="20">
        <v>0.37</v>
      </c>
      <c r="F135" s="20">
        <v>0.53</v>
      </c>
      <c r="G135" s="20">
        <v>0.06</v>
      </c>
      <c r="H135" s="20">
        <v>7.29</v>
      </c>
      <c r="I135" s="20">
        <v>0.09</v>
      </c>
      <c r="J135" s="20">
        <v>0.73</v>
      </c>
      <c r="K135" s="20">
        <v>0.03</v>
      </c>
      <c r="L135" s="20">
        <v>20.7</v>
      </c>
      <c r="M135" s="20">
        <v>0.12</v>
      </c>
      <c r="N135" s="20">
        <v>0.39</v>
      </c>
      <c r="O135" s="20">
        <v>0.01</v>
      </c>
      <c r="P135" s="20">
        <v>13.57</v>
      </c>
      <c r="Q135" s="20">
        <v>0.14000000000000001</v>
      </c>
      <c r="R135" s="20">
        <v>4.12</v>
      </c>
      <c r="S135" s="20">
        <v>0.03</v>
      </c>
      <c r="T135" s="20">
        <v>2.4900000000000002</v>
      </c>
      <c r="U135" s="20">
        <v>0.19</v>
      </c>
      <c r="V135" s="20">
        <v>0.26</v>
      </c>
      <c r="W135" s="20">
        <v>0.05</v>
      </c>
      <c r="X135" s="20">
        <v>0.78</v>
      </c>
      <c r="Y135" s="20">
        <v>7.0000000000000007E-2</v>
      </c>
      <c r="Z135" s="20">
        <v>5.62</v>
      </c>
      <c r="AA135" s="20">
        <v>7.0000000000000007E-2</v>
      </c>
      <c r="AB135" s="20">
        <v>0.79</v>
      </c>
      <c r="AC135" s="20">
        <v>0.01</v>
      </c>
    </row>
    <row r="136" spans="1:29" x14ac:dyDescent="0.25">
      <c r="A136" s="7">
        <v>688</v>
      </c>
      <c r="B136" s="3" t="s">
        <v>5</v>
      </c>
      <c r="C136" s="3" t="s">
        <v>204</v>
      </c>
      <c r="D136" s="20">
        <v>40.6</v>
      </c>
      <c r="E136" s="20">
        <v>0.34</v>
      </c>
      <c r="F136" s="20">
        <v>0.35</v>
      </c>
      <c r="G136" s="20">
        <v>0.06</v>
      </c>
      <c r="H136" s="20">
        <v>4</v>
      </c>
      <c r="I136" s="20">
        <v>0.06</v>
      </c>
      <c r="J136" s="20">
        <v>0.87</v>
      </c>
      <c r="K136" s="20">
        <v>0.03</v>
      </c>
      <c r="L136" s="20">
        <v>21.2</v>
      </c>
      <c r="M136" s="20">
        <v>0.12</v>
      </c>
      <c r="N136" s="20">
        <v>0.38</v>
      </c>
      <c r="O136" s="20">
        <v>0.01</v>
      </c>
      <c r="P136" s="20">
        <v>22.3</v>
      </c>
      <c r="Q136" s="20">
        <v>0.2</v>
      </c>
      <c r="R136" s="20">
        <v>2.61</v>
      </c>
      <c r="S136" s="20">
        <v>0.02</v>
      </c>
      <c r="T136" s="20">
        <v>1.59</v>
      </c>
      <c r="U136" s="20">
        <v>0.19</v>
      </c>
      <c r="V136" s="20">
        <v>0.12</v>
      </c>
      <c r="W136" s="20">
        <v>0.05</v>
      </c>
      <c r="X136" s="20">
        <v>0.63</v>
      </c>
      <c r="Y136" s="20">
        <v>7.0000000000000007E-2</v>
      </c>
      <c r="Z136" s="20">
        <v>4.32</v>
      </c>
      <c r="AA136" s="20">
        <v>0.05</v>
      </c>
      <c r="AB136" s="20">
        <v>0.87</v>
      </c>
      <c r="AC136" s="20">
        <v>0.01</v>
      </c>
    </row>
    <row r="137" spans="1:29" x14ac:dyDescent="0.25">
      <c r="A137" s="7">
        <v>699</v>
      </c>
      <c r="B137" s="3" t="s">
        <v>5</v>
      </c>
      <c r="C137" s="3" t="s">
        <v>205</v>
      </c>
      <c r="D137" s="20">
        <v>41.9</v>
      </c>
      <c r="E137" s="20">
        <v>0.3</v>
      </c>
      <c r="F137" s="20">
        <v>0.51</v>
      </c>
      <c r="G137" s="20">
        <v>0.06</v>
      </c>
      <c r="H137" s="20">
        <v>6.98</v>
      </c>
      <c r="I137" s="20">
        <v>0.08</v>
      </c>
      <c r="J137" s="20">
        <v>0.66</v>
      </c>
      <c r="K137" s="20">
        <v>0.03</v>
      </c>
      <c r="L137" s="20">
        <v>21.9</v>
      </c>
      <c r="M137" s="20">
        <v>0.1</v>
      </c>
      <c r="N137" s="20">
        <v>0.44</v>
      </c>
      <c r="O137" s="20">
        <v>0.01</v>
      </c>
      <c r="P137" s="20">
        <v>14.22</v>
      </c>
      <c r="Q137" s="20">
        <v>0.13</v>
      </c>
      <c r="R137" s="20">
        <v>4.0199999999999996</v>
      </c>
      <c r="S137" s="20">
        <v>0.03</v>
      </c>
      <c r="T137" s="20">
        <v>2.4300000000000002</v>
      </c>
      <c r="U137" s="20">
        <v>0.19</v>
      </c>
      <c r="V137" s="20">
        <v>0.24</v>
      </c>
      <c r="W137" s="20">
        <v>0.05</v>
      </c>
      <c r="X137" s="20">
        <v>0.73</v>
      </c>
      <c r="Y137" s="20">
        <v>7.0000000000000007E-2</v>
      </c>
      <c r="Z137" s="20">
        <v>5.14</v>
      </c>
      <c r="AA137" s="20">
        <v>0.06</v>
      </c>
      <c r="AB137" s="20">
        <v>0.7</v>
      </c>
      <c r="AC137" s="20">
        <v>0.01</v>
      </c>
    </row>
    <row r="138" spans="1:29" x14ac:dyDescent="0.25">
      <c r="A138" s="7">
        <v>700</v>
      </c>
      <c r="B138" s="3" t="s">
        <v>5</v>
      </c>
      <c r="C138" s="3" t="s">
        <v>206</v>
      </c>
      <c r="D138" s="20">
        <v>41.3</v>
      </c>
      <c r="E138" s="20">
        <v>0.36</v>
      </c>
      <c r="F138" s="20">
        <v>0.25</v>
      </c>
      <c r="G138" s="20">
        <v>0.06</v>
      </c>
      <c r="H138" s="20">
        <v>2.93</v>
      </c>
      <c r="I138" s="20">
        <v>0.08</v>
      </c>
      <c r="J138" s="20">
        <v>0.71</v>
      </c>
      <c r="K138" s="20">
        <v>0.03</v>
      </c>
      <c r="L138" s="20">
        <v>22.6</v>
      </c>
      <c r="M138" s="20">
        <v>0.13</v>
      </c>
      <c r="N138" s="20">
        <v>0.43</v>
      </c>
      <c r="O138" s="20">
        <v>0.01</v>
      </c>
      <c r="P138" s="20">
        <v>24.75</v>
      </c>
      <c r="Q138" s="20">
        <v>0.23</v>
      </c>
      <c r="R138" s="20">
        <v>1.93</v>
      </c>
      <c r="S138" s="20">
        <v>0.02</v>
      </c>
      <c r="T138" s="20">
        <v>1.1200000000000001</v>
      </c>
      <c r="U138" s="20">
        <v>0.25</v>
      </c>
      <c r="V138" s="20">
        <v>0.04</v>
      </c>
      <c r="W138" s="20">
        <v>0.05</v>
      </c>
      <c r="X138" s="20">
        <v>0.45</v>
      </c>
      <c r="Y138" s="20">
        <v>7.0000000000000007E-2</v>
      </c>
      <c r="Z138" s="20">
        <v>2.69</v>
      </c>
      <c r="AA138" s="20">
        <v>0.04</v>
      </c>
      <c r="AB138" s="20">
        <v>0.61</v>
      </c>
      <c r="AC138" s="20">
        <v>0.01</v>
      </c>
    </row>
    <row r="139" spans="1:29" x14ac:dyDescent="0.25">
      <c r="A139" s="7">
        <v>709</v>
      </c>
      <c r="B139" s="3" t="s">
        <v>3</v>
      </c>
      <c r="C139" s="20" t="s">
        <v>207</v>
      </c>
      <c r="D139" s="20">
        <v>46.9</v>
      </c>
      <c r="E139" s="20">
        <v>0.42</v>
      </c>
      <c r="F139" s="20">
        <v>0.62</v>
      </c>
      <c r="G139" s="20">
        <v>0.06</v>
      </c>
      <c r="H139" s="20">
        <v>10.74</v>
      </c>
      <c r="I139" s="20">
        <v>0.12</v>
      </c>
      <c r="J139" s="20">
        <v>0.32</v>
      </c>
      <c r="K139" s="20">
        <v>0.03</v>
      </c>
      <c r="L139" s="20">
        <v>16</v>
      </c>
      <c r="M139" s="20">
        <v>0.1</v>
      </c>
      <c r="N139" s="20">
        <v>0.31</v>
      </c>
      <c r="O139" s="20">
        <v>0.01</v>
      </c>
      <c r="P139" s="20">
        <v>11.31</v>
      </c>
      <c r="Q139" s="20">
        <v>0.14000000000000001</v>
      </c>
      <c r="R139" s="20">
        <v>6.1</v>
      </c>
      <c r="S139" s="20">
        <v>0.04</v>
      </c>
      <c r="T139" s="20">
        <v>3.01</v>
      </c>
      <c r="U139" s="20">
        <v>0.26</v>
      </c>
      <c r="V139" s="20">
        <v>0.31</v>
      </c>
      <c r="W139" s="20">
        <v>0.06</v>
      </c>
      <c r="X139" s="20">
        <v>0.81</v>
      </c>
      <c r="Y139" s="20">
        <v>7.0000000000000007E-2</v>
      </c>
      <c r="Z139" s="20">
        <v>3.06</v>
      </c>
      <c r="AA139" s="20">
        <v>0.04</v>
      </c>
      <c r="AB139" s="20">
        <v>0.38</v>
      </c>
      <c r="AC139" s="20">
        <v>0.01</v>
      </c>
    </row>
    <row r="140" spans="1:29" x14ac:dyDescent="0.25">
      <c r="A140" s="7">
        <v>710</v>
      </c>
      <c r="B140" s="3" t="s">
        <v>8</v>
      </c>
      <c r="C140" s="20" t="s">
        <v>208</v>
      </c>
      <c r="D140" s="20">
        <v>47.5</v>
      </c>
      <c r="E140" s="20">
        <v>0.4</v>
      </c>
      <c r="F140" s="20">
        <v>0.73</v>
      </c>
      <c r="G140" s="20">
        <v>0.06</v>
      </c>
      <c r="H140" s="20">
        <v>10.93</v>
      </c>
      <c r="I140" s="20">
        <v>0.12</v>
      </c>
      <c r="J140" s="20">
        <v>0.34</v>
      </c>
      <c r="K140" s="20">
        <v>0.03</v>
      </c>
      <c r="L140" s="20">
        <v>15.8</v>
      </c>
      <c r="M140" s="20">
        <v>0.09</v>
      </c>
      <c r="N140" s="20">
        <v>0.31</v>
      </c>
      <c r="O140" s="20">
        <v>0.01</v>
      </c>
      <c r="P140" s="20">
        <v>10.039999999999999</v>
      </c>
      <c r="Q140" s="20">
        <v>0.11</v>
      </c>
      <c r="R140" s="20">
        <v>6.28</v>
      </c>
      <c r="S140" s="20">
        <v>0.04</v>
      </c>
      <c r="T140" s="20">
        <v>3.17</v>
      </c>
      <c r="U140" s="20">
        <v>0.19</v>
      </c>
      <c r="V140" s="20">
        <v>0.37</v>
      </c>
      <c r="W140" s="20">
        <v>0.06</v>
      </c>
      <c r="X140" s="20">
        <v>0.75</v>
      </c>
      <c r="Y140" s="20">
        <v>7.0000000000000007E-2</v>
      </c>
      <c r="Z140" s="20">
        <v>3.26</v>
      </c>
      <c r="AA140" s="20">
        <v>0.04</v>
      </c>
      <c r="AB140" s="20">
        <v>0.42</v>
      </c>
      <c r="AC140" s="20">
        <v>0.01</v>
      </c>
    </row>
    <row r="141" spans="1:29" x14ac:dyDescent="0.25">
      <c r="A141" s="7">
        <v>723</v>
      </c>
      <c r="B141" s="3" t="s">
        <v>8</v>
      </c>
      <c r="C141" s="20" t="s">
        <v>209</v>
      </c>
      <c r="D141" s="20">
        <v>37.700000000000003</v>
      </c>
      <c r="E141" s="20">
        <v>0.26</v>
      </c>
      <c r="F141" s="20">
        <v>0.53</v>
      </c>
      <c r="G141" s="20">
        <v>0.06</v>
      </c>
      <c r="H141" s="20">
        <v>1.21</v>
      </c>
      <c r="I141" s="20">
        <v>0.03</v>
      </c>
      <c r="J141" s="20">
        <v>0.48</v>
      </c>
      <c r="K141" s="20">
        <v>0.03</v>
      </c>
      <c r="L141" s="20">
        <v>19.100000000000001</v>
      </c>
      <c r="M141" s="20">
        <v>7.0000000000000007E-2</v>
      </c>
      <c r="N141" s="20">
        <v>0.05</v>
      </c>
      <c r="O141" s="20">
        <v>0</v>
      </c>
      <c r="P141" s="20">
        <v>4.04</v>
      </c>
      <c r="Q141" s="20">
        <v>0.06</v>
      </c>
      <c r="R141" s="20">
        <v>0.81</v>
      </c>
      <c r="S141" s="20">
        <v>0.01</v>
      </c>
      <c r="T141" s="20">
        <v>0.14000000000000001</v>
      </c>
      <c r="U141" s="20">
        <v>0.14000000000000001</v>
      </c>
      <c r="V141" s="20">
        <v>0.01</v>
      </c>
      <c r="W141" s="20">
        <v>0.05</v>
      </c>
      <c r="X141" s="20">
        <v>0.5</v>
      </c>
      <c r="Y141" s="20">
        <v>7.0000000000000007E-2</v>
      </c>
      <c r="Z141" s="20">
        <v>35.06</v>
      </c>
      <c r="AA141" s="20">
        <v>0.24</v>
      </c>
      <c r="AB141" s="20">
        <v>0.31</v>
      </c>
      <c r="AC141" s="20">
        <v>0.01</v>
      </c>
    </row>
    <row r="142" spans="1:29" x14ac:dyDescent="0.25">
      <c r="A142" s="7">
        <v>724</v>
      </c>
      <c r="B142" s="3" t="s">
        <v>96</v>
      </c>
      <c r="C142" s="20" t="s">
        <v>210</v>
      </c>
      <c r="D142" s="20">
        <v>28.4</v>
      </c>
      <c r="E142" s="20">
        <v>0.26</v>
      </c>
      <c r="F142" s="20">
        <v>0.25</v>
      </c>
      <c r="G142" s="20">
        <v>0.06</v>
      </c>
      <c r="H142" s="20">
        <v>2.46</v>
      </c>
      <c r="I142" s="20">
        <v>0.04</v>
      </c>
      <c r="J142" s="20">
        <v>0.46</v>
      </c>
      <c r="K142" s="20">
        <v>0.03</v>
      </c>
      <c r="L142" s="20">
        <v>17.2</v>
      </c>
      <c r="M142" s="20">
        <v>0.1</v>
      </c>
      <c r="N142" s="20">
        <v>0.13</v>
      </c>
      <c r="O142" s="20">
        <v>0.01</v>
      </c>
      <c r="P142" s="20">
        <v>11.46</v>
      </c>
      <c r="Q142" s="20">
        <v>0.12</v>
      </c>
      <c r="R142" s="20">
        <v>5.15</v>
      </c>
      <c r="S142" s="20">
        <v>0.04</v>
      </c>
      <c r="T142" s="20">
        <v>0.39</v>
      </c>
      <c r="U142" s="20">
        <v>0.16</v>
      </c>
      <c r="V142" s="20">
        <v>0.04</v>
      </c>
      <c r="W142" s="20">
        <v>0.05</v>
      </c>
      <c r="X142" s="20">
        <v>0.51</v>
      </c>
      <c r="Y142" s="20">
        <v>7.0000000000000007E-2</v>
      </c>
      <c r="Z142" s="20">
        <v>32.799999999999997</v>
      </c>
      <c r="AA142" s="20">
        <v>0.27</v>
      </c>
      <c r="AB142" s="20">
        <v>0.66</v>
      </c>
      <c r="AC142" s="20">
        <v>0.01</v>
      </c>
    </row>
    <row r="143" spans="1:29" x14ac:dyDescent="0.25">
      <c r="A143" s="7">
        <v>726</v>
      </c>
      <c r="B143" s="3" t="s">
        <v>4</v>
      </c>
      <c r="C143" s="3" t="s">
        <v>211</v>
      </c>
      <c r="D143" s="20">
        <v>46.5</v>
      </c>
      <c r="E143" s="20">
        <v>0.57999999999999996</v>
      </c>
      <c r="F143" s="20">
        <v>0.74</v>
      </c>
      <c r="G143" s="20">
        <v>0.1</v>
      </c>
      <c r="H143" s="20">
        <v>9.52</v>
      </c>
      <c r="I143" s="20">
        <v>0.21</v>
      </c>
      <c r="J143" s="20">
        <v>0.35</v>
      </c>
      <c r="K143" s="20">
        <v>0.06</v>
      </c>
      <c r="L143" s="20">
        <v>17.2</v>
      </c>
      <c r="M143" s="20">
        <v>0.16</v>
      </c>
      <c r="N143" s="20">
        <v>0.36</v>
      </c>
      <c r="O143" s="20">
        <v>0.03</v>
      </c>
      <c r="P143" s="20">
        <v>9</v>
      </c>
      <c r="Q143" s="20">
        <v>0.24</v>
      </c>
      <c r="R143" s="20">
        <v>6.05</v>
      </c>
      <c r="S143" s="20">
        <v>0.11</v>
      </c>
      <c r="T143" s="20">
        <v>3.1</v>
      </c>
      <c r="U143" s="20">
        <v>0.42</v>
      </c>
      <c r="V143" s="20">
        <v>0.53</v>
      </c>
      <c r="W143" s="20">
        <v>0.08</v>
      </c>
      <c r="X143" s="20">
        <v>0.9</v>
      </c>
      <c r="Y143" s="20">
        <v>0.11</v>
      </c>
      <c r="Z143" s="20">
        <v>5</v>
      </c>
      <c r="AA143" s="20">
        <v>0.16</v>
      </c>
      <c r="AB143" s="20">
        <v>0.56999999999999995</v>
      </c>
      <c r="AC143" s="20">
        <v>0.04</v>
      </c>
    </row>
    <row r="144" spans="1:29" x14ac:dyDescent="0.25">
      <c r="A144" s="7">
        <v>749</v>
      </c>
      <c r="B144" s="3" t="s">
        <v>95</v>
      </c>
      <c r="C144" s="3" t="s">
        <v>212</v>
      </c>
      <c r="D144" s="20">
        <v>45.2</v>
      </c>
      <c r="E144" s="20">
        <v>0.27</v>
      </c>
      <c r="F144" s="20">
        <v>0.74</v>
      </c>
      <c r="G144" s="20">
        <v>0.06</v>
      </c>
      <c r="H144" s="20">
        <v>8.91</v>
      </c>
      <c r="I144" s="20">
        <v>0.08</v>
      </c>
      <c r="J144" s="20">
        <v>0.45</v>
      </c>
      <c r="K144" s="20">
        <v>0.03</v>
      </c>
      <c r="L144" s="20">
        <v>17.7</v>
      </c>
      <c r="M144" s="20">
        <v>0.06</v>
      </c>
      <c r="N144" s="20">
        <v>0.39</v>
      </c>
      <c r="O144" s="20">
        <v>0.01</v>
      </c>
      <c r="P144" s="20">
        <v>9.19</v>
      </c>
      <c r="Q144" s="20">
        <v>0.09</v>
      </c>
      <c r="R144" s="20">
        <v>6.07</v>
      </c>
      <c r="S144" s="20">
        <v>0.04</v>
      </c>
      <c r="T144" s="20">
        <v>3.1</v>
      </c>
      <c r="U144" s="20">
        <v>0.17</v>
      </c>
      <c r="V144" s="20">
        <v>0.32</v>
      </c>
      <c r="W144" s="20">
        <v>0.05</v>
      </c>
      <c r="X144" s="20">
        <v>0.87</v>
      </c>
      <c r="Y144" s="20">
        <v>7.0000000000000007E-2</v>
      </c>
      <c r="Z144" s="20">
        <v>5.67</v>
      </c>
      <c r="AA144" s="20">
        <v>0.06</v>
      </c>
      <c r="AB144" s="20">
        <v>1.31</v>
      </c>
      <c r="AC144" s="20">
        <v>0.02</v>
      </c>
    </row>
    <row r="145" spans="1:29" x14ac:dyDescent="0.25">
      <c r="A145" s="7">
        <v>750</v>
      </c>
      <c r="B145" s="3" t="s">
        <v>95</v>
      </c>
      <c r="C145" s="3" t="s">
        <v>213</v>
      </c>
      <c r="D145" s="20">
        <v>45.3</v>
      </c>
      <c r="E145" s="20">
        <v>0.28999999999999998</v>
      </c>
      <c r="F145" s="20">
        <v>0.67</v>
      </c>
      <c r="G145" s="20">
        <v>0.06</v>
      </c>
      <c r="H145" s="20">
        <v>7.85</v>
      </c>
      <c r="I145" s="20">
        <v>0.08</v>
      </c>
      <c r="J145" s="20">
        <v>0.49</v>
      </c>
      <c r="K145" s="20">
        <v>0.03</v>
      </c>
      <c r="L145" s="20">
        <v>17.8</v>
      </c>
      <c r="M145" s="20">
        <v>7.0000000000000007E-2</v>
      </c>
      <c r="N145" s="20">
        <v>0.47</v>
      </c>
      <c r="O145" s="20">
        <v>0.01</v>
      </c>
      <c r="P145" s="20">
        <v>11.99</v>
      </c>
      <c r="Q145" s="20">
        <v>0.11</v>
      </c>
      <c r="R145" s="20">
        <v>5.8</v>
      </c>
      <c r="S145" s="20">
        <v>0.04</v>
      </c>
      <c r="T145" s="20">
        <v>2.35</v>
      </c>
      <c r="U145" s="20">
        <v>0.17</v>
      </c>
      <c r="V145" s="20">
        <v>0.23</v>
      </c>
      <c r="W145" s="20">
        <v>0.05</v>
      </c>
      <c r="X145" s="20">
        <v>0.79</v>
      </c>
      <c r="Y145" s="20">
        <v>7.0000000000000007E-2</v>
      </c>
      <c r="Z145" s="20">
        <v>4.63</v>
      </c>
      <c r="AA145" s="20">
        <v>0.06</v>
      </c>
      <c r="AB145" s="20">
        <v>1.57</v>
      </c>
      <c r="AC145" s="20">
        <v>0.02</v>
      </c>
    </row>
    <row r="146" spans="1:29" x14ac:dyDescent="0.25">
      <c r="A146" s="7">
        <v>754</v>
      </c>
      <c r="B146" s="3" t="s">
        <v>5</v>
      </c>
      <c r="C146" s="3" t="s">
        <v>214</v>
      </c>
      <c r="D146" s="20">
        <v>45.4</v>
      </c>
      <c r="E146" s="20">
        <v>0.38</v>
      </c>
      <c r="F146" s="20">
        <v>1.01</v>
      </c>
      <c r="G146" s="20">
        <v>0.06</v>
      </c>
      <c r="H146" s="20">
        <v>9.31</v>
      </c>
      <c r="I146" s="20">
        <v>0.1</v>
      </c>
      <c r="J146" s="20">
        <v>0.32</v>
      </c>
      <c r="K146" s="20">
        <v>0.03</v>
      </c>
      <c r="L146" s="20">
        <v>15.4</v>
      </c>
      <c r="M146" s="20">
        <v>0.09</v>
      </c>
      <c r="N146" s="20">
        <v>0.32</v>
      </c>
      <c r="O146" s="20">
        <v>0.01</v>
      </c>
      <c r="P146" s="20">
        <v>9.48</v>
      </c>
      <c r="Q146" s="20">
        <v>0.1</v>
      </c>
      <c r="R146" s="20">
        <v>6.65</v>
      </c>
      <c r="S146" s="20">
        <v>0.04</v>
      </c>
      <c r="T146" s="20">
        <v>3.5</v>
      </c>
      <c r="U146" s="20">
        <v>0.19</v>
      </c>
      <c r="V146" s="20">
        <v>0.42</v>
      </c>
      <c r="W146" s="20">
        <v>0.06</v>
      </c>
      <c r="X146" s="20">
        <v>1.37</v>
      </c>
      <c r="Y146" s="20">
        <v>7.0000000000000007E-2</v>
      </c>
      <c r="Z146" s="20">
        <v>4.8099999999999996</v>
      </c>
      <c r="AA146" s="20">
        <v>0.06</v>
      </c>
      <c r="AB146" s="20">
        <v>1.94</v>
      </c>
      <c r="AC146" s="20">
        <v>0.02</v>
      </c>
    </row>
    <row r="147" spans="1:29" x14ac:dyDescent="0.25">
      <c r="A147" s="7">
        <v>763</v>
      </c>
      <c r="B147" s="3" t="s">
        <v>97</v>
      </c>
      <c r="C147" s="3" t="s">
        <v>215</v>
      </c>
      <c r="D147" s="20">
        <v>46</v>
      </c>
      <c r="E147" s="20">
        <v>0.28999999999999998</v>
      </c>
      <c r="F147" s="20">
        <v>0.93</v>
      </c>
      <c r="G147" s="20">
        <v>0.06</v>
      </c>
      <c r="H147" s="20">
        <v>9.3000000000000007</v>
      </c>
      <c r="I147" s="20">
        <v>0.09</v>
      </c>
      <c r="J147" s="20">
        <v>0.39</v>
      </c>
      <c r="K147" s="20">
        <v>0.03</v>
      </c>
      <c r="L147" s="20">
        <v>16.899999999999999</v>
      </c>
      <c r="M147" s="20">
        <v>7.0000000000000007E-2</v>
      </c>
      <c r="N147" s="20">
        <v>0.31</v>
      </c>
      <c r="O147" s="20">
        <v>0.01</v>
      </c>
      <c r="P147" s="20">
        <v>9.59</v>
      </c>
      <c r="Q147" s="20">
        <v>0.09</v>
      </c>
      <c r="R147" s="20">
        <v>6.5</v>
      </c>
      <c r="S147" s="20">
        <v>0.04</v>
      </c>
      <c r="T147" s="20">
        <v>3.25</v>
      </c>
      <c r="U147" s="20">
        <v>0.18</v>
      </c>
      <c r="V147" s="20">
        <v>0.21</v>
      </c>
      <c r="W147" s="20">
        <v>0.05</v>
      </c>
      <c r="X147" s="20">
        <v>1.1200000000000001</v>
      </c>
      <c r="Y147" s="20">
        <v>7.0000000000000007E-2</v>
      </c>
      <c r="Z147" s="20">
        <v>3.75</v>
      </c>
      <c r="AA147" s="20">
        <v>0.05</v>
      </c>
      <c r="AB147" s="20">
        <v>1.74</v>
      </c>
      <c r="AC147" s="20">
        <v>0.02</v>
      </c>
    </row>
    <row r="148" spans="1:29" x14ac:dyDescent="0.25">
      <c r="A148" s="7">
        <v>764</v>
      </c>
      <c r="B148" s="3" t="s">
        <v>97</v>
      </c>
      <c r="C148" s="3" t="s">
        <v>216</v>
      </c>
      <c r="D148" s="20">
        <v>46.6</v>
      </c>
      <c r="E148" s="20">
        <v>0.39</v>
      </c>
      <c r="F148" s="20">
        <v>1.1100000000000001</v>
      </c>
      <c r="G148" s="20">
        <v>7.0000000000000007E-2</v>
      </c>
      <c r="H148" s="20">
        <v>9.98</v>
      </c>
      <c r="I148" s="20">
        <v>0.12</v>
      </c>
      <c r="J148" s="20">
        <v>0.34</v>
      </c>
      <c r="K148" s="20">
        <v>0.03</v>
      </c>
      <c r="L148" s="20">
        <v>15.4</v>
      </c>
      <c r="M148" s="20">
        <v>0.09</v>
      </c>
      <c r="N148" s="20">
        <v>0.28999999999999998</v>
      </c>
      <c r="O148" s="20">
        <v>0.01</v>
      </c>
      <c r="P148" s="20">
        <v>10.26</v>
      </c>
      <c r="Q148" s="20">
        <v>0.12</v>
      </c>
      <c r="R148" s="20">
        <v>6.74</v>
      </c>
      <c r="S148" s="20">
        <v>0.05</v>
      </c>
      <c r="T148" s="20">
        <v>3.36</v>
      </c>
      <c r="U148" s="20">
        <v>0.21</v>
      </c>
      <c r="V148" s="20">
        <v>0.32</v>
      </c>
      <c r="W148" s="20">
        <v>0.06</v>
      </c>
      <c r="X148" s="20">
        <v>1.27</v>
      </c>
      <c r="Y148" s="20">
        <v>0.08</v>
      </c>
      <c r="Z148" s="20">
        <v>2.91</v>
      </c>
      <c r="AA148" s="20">
        <v>0.05</v>
      </c>
      <c r="AB148" s="20">
        <v>1.35</v>
      </c>
      <c r="AC148" s="20">
        <v>0.02</v>
      </c>
    </row>
    <row r="149" spans="1:29" x14ac:dyDescent="0.25">
      <c r="A149" s="7">
        <v>770</v>
      </c>
      <c r="B149" s="3" t="s">
        <v>4</v>
      </c>
      <c r="C149" s="3" t="s">
        <v>217</v>
      </c>
      <c r="D149" s="20">
        <v>68.400000000000006</v>
      </c>
      <c r="E149" s="20">
        <v>0.62</v>
      </c>
      <c r="F149" s="20">
        <v>1.71</v>
      </c>
      <c r="G149" s="20">
        <v>0.08</v>
      </c>
      <c r="H149" s="20">
        <v>6.31</v>
      </c>
      <c r="I149" s="20">
        <v>0.08</v>
      </c>
      <c r="J149" s="20">
        <v>0.06</v>
      </c>
      <c r="K149" s="20">
        <v>0.03</v>
      </c>
      <c r="L149" s="20">
        <v>6.8</v>
      </c>
      <c r="M149" s="20">
        <v>0.05</v>
      </c>
      <c r="N149" s="20">
        <v>0.15</v>
      </c>
      <c r="O149" s="20">
        <v>0.01</v>
      </c>
      <c r="P149" s="20">
        <v>4.16</v>
      </c>
      <c r="Q149" s="20">
        <v>0.08</v>
      </c>
      <c r="R149" s="20">
        <v>1.93</v>
      </c>
      <c r="S149" s="20">
        <v>0.02</v>
      </c>
      <c r="T149" s="20">
        <v>2.92</v>
      </c>
      <c r="U149" s="20">
        <v>0.21</v>
      </c>
      <c r="V149" s="20">
        <v>2.76</v>
      </c>
      <c r="W149" s="20">
        <v>7.0000000000000007E-2</v>
      </c>
      <c r="X149" s="20">
        <v>0.68</v>
      </c>
      <c r="Y149" s="20">
        <v>7.0000000000000007E-2</v>
      </c>
      <c r="Z149" s="20">
        <v>3.39</v>
      </c>
      <c r="AA149" s="20">
        <v>0.05</v>
      </c>
      <c r="AB149" s="20">
        <v>0.63</v>
      </c>
      <c r="AC149" s="20">
        <v>0.01</v>
      </c>
    </row>
    <row r="150" spans="1:29" x14ac:dyDescent="0.25">
      <c r="A150" s="7">
        <v>809</v>
      </c>
      <c r="B150" s="3" t="s">
        <v>4</v>
      </c>
      <c r="C150" s="3" t="s">
        <v>218</v>
      </c>
      <c r="D150" s="20">
        <v>46</v>
      </c>
      <c r="E150" s="20">
        <v>0.39</v>
      </c>
      <c r="F150" s="20">
        <v>0.89</v>
      </c>
      <c r="G150" s="20">
        <v>0.06</v>
      </c>
      <c r="H150" s="20">
        <v>9.2100000000000009</v>
      </c>
      <c r="I150" s="20">
        <v>0.12</v>
      </c>
      <c r="J150" s="20">
        <v>0.23</v>
      </c>
      <c r="K150" s="20">
        <v>0.03</v>
      </c>
      <c r="L150" s="20">
        <v>17.5</v>
      </c>
      <c r="M150" s="20">
        <v>0.1</v>
      </c>
      <c r="N150" s="20">
        <v>0.27</v>
      </c>
      <c r="O150" s="20">
        <v>0.01</v>
      </c>
      <c r="P150" s="20">
        <v>9.41</v>
      </c>
      <c r="Q150" s="20">
        <v>0.1</v>
      </c>
      <c r="R150" s="20">
        <v>5.59</v>
      </c>
      <c r="S150" s="20">
        <v>0.04</v>
      </c>
      <c r="T150" s="20">
        <v>2.82</v>
      </c>
      <c r="U150" s="20">
        <v>0.19</v>
      </c>
      <c r="V150" s="20">
        <v>0.54</v>
      </c>
      <c r="W150" s="20">
        <v>0.06</v>
      </c>
      <c r="X150" s="20">
        <v>0.87</v>
      </c>
      <c r="Y150" s="20">
        <v>7.0000000000000007E-2</v>
      </c>
      <c r="Z150" s="20">
        <v>5.71</v>
      </c>
      <c r="AA150" s="20">
        <v>0.06</v>
      </c>
      <c r="AB150" s="20">
        <v>0.74</v>
      </c>
      <c r="AC150" s="20">
        <v>0.01</v>
      </c>
    </row>
    <row r="151" spans="1:29" x14ac:dyDescent="0.25">
      <c r="A151" s="7">
        <v>814</v>
      </c>
      <c r="B151" s="3" t="s">
        <v>3</v>
      </c>
      <c r="C151" s="20" t="s">
        <v>219</v>
      </c>
      <c r="D151" s="20">
        <v>47.1</v>
      </c>
      <c r="E151" s="20">
        <v>0.35</v>
      </c>
      <c r="F151" s="20">
        <v>0.79</v>
      </c>
      <c r="G151" s="20">
        <v>0.06</v>
      </c>
      <c r="H151" s="20">
        <v>10.44</v>
      </c>
      <c r="I151" s="20">
        <v>0.1</v>
      </c>
      <c r="J151" s="20">
        <v>0.36</v>
      </c>
      <c r="K151" s="20">
        <v>0.03</v>
      </c>
      <c r="L151" s="20">
        <v>16</v>
      </c>
      <c r="M151" s="20">
        <v>7.0000000000000007E-2</v>
      </c>
      <c r="N151" s="20">
        <v>0.33</v>
      </c>
      <c r="O151" s="20">
        <v>0.01</v>
      </c>
      <c r="P151" s="20">
        <v>8.98</v>
      </c>
      <c r="Q151" s="20">
        <v>0.1</v>
      </c>
      <c r="R151" s="20">
        <v>6.41</v>
      </c>
      <c r="S151" s="20">
        <v>0.04</v>
      </c>
      <c r="T151" s="20">
        <v>3.06</v>
      </c>
      <c r="U151" s="20">
        <v>0.19</v>
      </c>
      <c r="V151" s="20">
        <v>0.44</v>
      </c>
      <c r="W151" s="20">
        <v>0.06</v>
      </c>
      <c r="X151" s="20">
        <v>0.87</v>
      </c>
      <c r="Y151" s="20">
        <v>7.0000000000000007E-2</v>
      </c>
      <c r="Z151" s="20">
        <v>4.53</v>
      </c>
      <c r="AA151" s="20">
        <v>0.05</v>
      </c>
      <c r="AB151" s="20">
        <v>0.56999999999999995</v>
      </c>
      <c r="AC151" s="20">
        <v>0.01</v>
      </c>
    </row>
    <row r="152" spans="1:29" x14ac:dyDescent="0.25">
      <c r="A152" s="7">
        <v>823</v>
      </c>
      <c r="B152" s="3" t="s">
        <v>3</v>
      </c>
      <c r="C152" s="20" t="s">
        <v>220</v>
      </c>
      <c r="D152" s="20">
        <v>47.2</v>
      </c>
      <c r="E152" s="20">
        <v>0.4</v>
      </c>
      <c r="F152" s="20">
        <v>0.87</v>
      </c>
      <c r="G152" s="20">
        <v>7.0000000000000007E-2</v>
      </c>
      <c r="H152" s="20">
        <v>10.3</v>
      </c>
      <c r="I152" s="20">
        <v>0.14000000000000001</v>
      </c>
      <c r="J152" s="20">
        <v>0.34</v>
      </c>
      <c r="K152" s="20">
        <v>0.03</v>
      </c>
      <c r="L152" s="20">
        <v>15.7</v>
      </c>
      <c r="M152" s="20">
        <v>0.1</v>
      </c>
      <c r="N152" s="20">
        <v>0.32</v>
      </c>
      <c r="O152" s="20">
        <v>0.01</v>
      </c>
      <c r="P152" s="20">
        <v>8.14</v>
      </c>
      <c r="Q152" s="20">
        <v>0.1</v>
      </c>
      <c r="R152" s="20">
        <v>6.5</v>
      </c>
      <c r="S152" s="20">
        <v>0.05</v>
      </c>
      <c r="T152" s="20">
        <v>2.87</v>
      </c>
      <c r="U152" s="20">
        <v>0.2</v>
      </c>
      <c r="V152" s="20">
        <v>0.48</v>
      </c>
      <c r="W152" s="20">
        <v>0.06</v>
      </c>
      <c r="X152" s="20">
        <v>0.97</v>
      </c>
      <c r="Y152" s="20">
        <v>0.08</v>
      </c>
      <c r="Z152" s="20">
        <v>5.52</v>
      </c>
      <c r="AA152" s="20">
        <v>7.0000000000000007E-2</v>
      </c>
      <c r="AB152" s="20">
        <v>0.64</v>
      </c>
      <c r="AC152" s="20">
        <v>0.01</v>
      </c>
    </row>
    <row r="153" spans="1:29" x14ac:dyDescent="0.25">
      <c r="A153" s="7">
        <v>831</v>
      </c>
      <c r="B153" s="3" t="s">
        <v>8</v>
      </c>
      <c r="C153" s="20" t="s">
        <v>221</v>
      </c>
      <c r="D153" s="20">
        <v>47.1</v>
      </c>
      <c r="E153" s="20">
        <v>0.45</v>
      </c>
      <c r="F153" s="20">
        <v>0.82</v>
      </c>
      <c r="G153" s="20">
        <v>7.0000000000000007E-2</v>
      </c>
      <c r="H153" s="20">
        <v>10.36</v>
      </c>
      <c r="I153" s="20">
        <v>0.13</v>
      </c>
      <c r="J153" s="20">
        <v>0.32</v>
      </c>
      <c r="K153" s="20">
        <v>0.03</v>
      </c>
      <c r="L153" s="20">
        <v>15.8</v>
      </c>
      <c r="M153" s="20">
        <v>0.11</v>
      </c>
      <c r="N153" s="20">
        <v>0.33</v>
      </c>
      <c r="O153" s="20">
        <v>0.01</v>
      </c>
      <c r="P153" s="20">
        <v>7.94</v>
      </c>
      <c r="Q153" s="20">
        <v>0.12</v>
      </c>
      <c r="R153" s="20">
        <v>6.52</v>
      </c>
      <c r="S153" s="20">
        <v>0.05</v>
      </c>
      <c r="T153" s="20">
        <v>2.83</v>
      </c>
      <c r="U153" s="20">
        <v>0.23</v>
      </c>
      <c r="V153" s="20">
        <v>0.5</v>
      </c>
      <c r="W153" s="20">
        <v>0.06</v>
      </c>
      <c r="X153" s="20">
        <v>0.98</v>
      </c>
      <c r="Y153" s="20">
        <v>0.08</v>
      </c>
      <c r="Z153" s="20">
        <v>5.76</v>
      </c>
      <c r="AA153" s="20">
        <v>0.08</v>
      </c>
      <c r="AB153" s="20">
        <v>0.66</v>
      </c>
      <c r="AC153" s="20">
        <v>0.02</v>
      </c>
    </row>
    <row r="154" spans="1:29" x14ac:dyDescent="0.25">
      <c r="A154" s="7">
        <v>833</v>
      </c>
      <c r="B154" s="3" t="s">
        <v>4</v>
      </c>
      <c r="C154" s="3" t="s">
        <v>222</v>
      </c>
      <c r="D154" s="20">
        <v>45.3</v>
      </c>
      <c r="E154" s="20">
        <v>0.39</v>
      </c>
      <c r="F154" s="20">
        <v>0.9</v>
      </c>
      <c r="G154" s="20">
        <v>0.06</v>
      </c>
      <c r="H154" s="20">
        <v>8.73</v>
      </c>
      <c r="I154" s="20">
        <v>0.12</v>
      </c>
      <c r="J154" s="20">
        <v>0.19</v>
      </c>
      <c r="K154" s="20">
        <v>0.03</v>
      </c>
      <c r="L154" s="20">
        <v>18</v>
      </c>
      <c r="M154" s="20">
        <v>0.11</v>
      </c>
      <c r="N154" s="20">
        <v>0.24</v>
      </c>
      <c r="O154" s="20">
        <v>0.01</v>
      </c>
      <c r="P154" s="20">
        <v>9.31</v>
      </c>
      <c r="Q154" s="20">
        <v>0.11</v>
      </c>
      <c r="R154" s="20">
        <v>5.3</v>
      </c>
      <c r="S154" s="20">
        <v>0.04</v>
      </c>
      <c r="T154" s="20">
        <v>2.71</v>
      </c>
      <c r="U154" s="20">
        <v>0.19</v>
      </c>
      <c r="V154" s="20">
        <v>0.6</v>
      </c>
      <c r="W154" s="20">
        <v>0.06</v>
      </c>
      <c r="X154" s="20">
        <v>0.9</v>
      </c>
      <c r="Y154" s="20">
        <v>7.0000000000000007E-2</v>
      </c>
      <c r="Z154" s="20">
        <v>6.67</v>
      </c>
      <c r="AA154" s="20">
        <v>7.0000000000000007E-2</v>
      </c>
      <c r="AB154" s="20">
        <v>0.86</v>
      </c>
      <c r="AC154" s="20">
        <v>0.01</v>
      </c>
    </row>
    <row r="155" spans="1:29" x14ac:dyDescent="0.25">
      <c r="A155" s="7">
        <v>847</v>
      </c>
      <c r="B155" s="3" t="s">
        <v>8</v>
      </c>
      <c r="C155" s="20" t="s">
        <v>223</v>
      </c>
      <c r="D155" s="20">
        <v>46.6</v>
      </c>
      <c r="E155" s="20">
        <v>0.35</v>
      </c>
      <c r="F155" s="20">
        <v>0.82</v>
      </c>
      <c r="G155" s="20">
        <v>0.06</v>
      </c>
      <c r="H155" s="20">
        <v>10.47</v>
      </c>
      <c r="I155" s="20">
        <v>0.1</v>
      </c>
      <c r="J155" s="20">
        <v>0.34</v>
      </c>
      <c r="K155" s="20">
        <v>0.03</v>
      </c>
      <c r="L155" s="20">
        <v>15.8</v>
      </c>
      <c r="M155" s="20">
        <v>0.08</v>
      </c>
      <c r="N155" s="20">
        <v>0.32</v>
      </c>
      <c r="O155" s="20">
        <v>0.01</v>
      </c>
      <c r="P155" s="20">
        <v>8.51</v>
      </c>
      <c r="Q155" s="20">
        <v>0.09</v>
      </c>
      <c r="R155" s="20">
        <v>6.31</v>
      </c>
      <c r="S155" s="20">
        <v>0.04</v>
      </c>
      <c r="T155" s="20">
        <v>3.34</v>
      </c>
      <c r="U155" s="20">
        <v>0.19</v>
      </c>
      <c r="V155" s="20">
        <v>0.44</v>
      </c>
      <c r="W155" s="20">
        <v>0.06</v>
      </c>
      <c r="X155" s="20">
        <v>0.9</v>
      </c>
      <c r="Y155" s="20">
        <v>7.0000000000000007E-2</v>
      </c>
      <c r="Z155" s="20">
        <v>5.43</v>
      </c>
      <c r="AA155" s="20">
        <v>0.06</v>
      </c>
      <c r="AB155" s="20">
        <v>0.61</v>
      </c>
      <c r="AC155" s="20">
        <v>0.01</v>
      </c>
    </row>
    <row r="156" spans="1:29" x14ac:dyDescent="0.25">
      <c r="A156" s="7">
        <v>875</v>
      </c>
      <c r="B156" s="3" t="s">
        <v>4</v>
      </c>
      <c r="C156" s="3" t="s">
        <v>224</v>
      </c>
      <c r="D156" s="20">
        <v>43</v>
      </c>
      <c r="E156" s="20">
        <v>0.42</v>
      </c>
      <c r="F156" s="20">
        <v>0.72</v>
      </c>
      <c r="G156" s="20">
        <v>7.0000000000000007E-2</v>
      </c>
      <c r="H156" s="20">
        <v>9.02</v>
      </c>
      <c r="I156" s="20">
        <v>0.12</v>
      </c>
      <c r="J156" s="20">
        <v>0.22</v>
      </c>
      <c r="K156" s="20">
        <v>0.03</v>
      </c>
      <c r="L156" s="20">
        <v>15.1</v>
      </c>
      <c r="M156" s="20">
        <v>0.11</v>
      </c>
      <c r="N156" s="20">
        <v>0.26</v>
      </c>
      <c r="O156" s="20">
        <v>0.01</v>
      </c>
      <c r="P156" s="20">
        <v>7.96</v>
      </c>
      <c r="Q156" s="20">
        <v>0.11</v>
      </c>
      <c r="R156" s="20">
        <v>8.4</v>
      </c>
      <c r="S156" s="20">
        <v>0.06</v>
      </c>
      <c r="T156" s="20">
        <v>2.78</v>
      </c>
      <c r="U156" s="20">
        <v>0.22</v>
      </c>
      <c r="V156" s="20">
        <v>0.43</v>
      </c>
      <c r="W156" s="20">
        <v>0.06</v>
      </c>
      <c r="X156" s="20">
        <v>0.8</v>
      </c>
      <c r="Y156" s="20">
        <v>0.08</v>
      </c>
      <c r="Z156" s="20">
        <v>10.51</v>
      </c>
      <c r="AA156" s="20">
        <v>0.12</v>
      </c>
      <c r="AB156" s="20">
        <v>0.57999999999999996</v>
      </c>
      <c r="AC156" s="20">
        <v>0.01</v>
      </c>
    </row>
    <row r="157" spans="1:29" x14ac:dyDescent="0.25">
      <c r="A157" s="7">
        <v>901</v>
      </c>
      <c r="B157" s="3" t="s">
        <v>4</v>
      </c>
      <c r="C157" s="3" t="s">
        <v>225</v>
      </c>
      <c r="D157" s="20">
        <v>43.6</v>
      </c>
      <c r="E157" s="20">
        <v>0.54</v>
      </c>
      <c r="F157" s="20">
        <v>0.72</v>
      </c>
      <c r="G157" s="20">
        <v>0.09</v>
      </c>
      <c r="H157" s="20">
        <v>9.16</v>
      </c>
      <c r="I157" s="20">
        <v>0.21</v>
      </c>
      <c r="J157" s="20">
        <v>0.25</v>
      </c>
      <c r="K157" s="20">
        <v>0.04</v>
      </c>
      <c r="L157" s="20">
        <v>15</v>
      </c>
      <c r="M157" s="20">
        <v>0.14000000000000001</v>
      </c>
      <c r="N157" s="20">
        <v>0.3</v>
      </c>
      <c r="O157" s="20">
        <v>0.02</v>
      </c>
      <c r="P157" s="20">
        <v>8.41</v>
      </c>
      <c r="Q157" s="20">
        <v>0.2</v>
      </c>
      <c r="R157" s="20">
        <v>7.93</v>
      </c>
      <c r="S157" s="20">
        <v>0.09</v>
      </c>
      <c r="T157" s="20">
        <v>2.98</v>
      </c>
      <c r="U157" s="20">
        <v>0.38</v>
      </c>
      <c r="V157" s="20">
        <v>0.44</v>
      </c>
      <c r="W157" s="20">
        <v>7.0000000000000007E-2</v>
      </c>
      <c r="X157" s="20">
        <v>0.84</v>
      </c>
      <c r="Y157" s="20">
        <v>0.12</v>
      </c>
      <c r="Z157" s="20">
        <v>9.67</v>
      </c>
      <c r="AA157" s="20">
        <v>0.18</v>
      </c>
      <c r="AB157" s="20">
        <v>0.59</v>
      </c>
      <c r="AC157" s="20">
        <v>0.03</v>
      </c>
    </row>
    <row r="158" spans="1:29" x14ac:dyDescent="0.25">
      <c r="A158" s="7">
        <v>927</v>
      </c>
      <c r="B158" s="3" t="s">
        <v>4</v>
      </c>
      <c r="C158" s="3" t="s">
        <v>226</v>
      </c>
      <c r="D158" s="20">
        <v>45.9</v>
      </c>
      <c r="E158" s="20">
        <v>0.49</v>
      </c>
      <c r="F158" s="20">
        <v>0.86</v>
      </c>
      <c r="G158" s="20">
        <v>7.0000000000000007E-2</v>
      </c>
      <c r="H158" s="20">
        <v>9.7799999999999994</v>
      </c>
      <c r="I158" s="20">
        <v>0.14000000000000001</v>
      </c>
      <c r="J158" s="20">
        <v>0.23</v>
      </c>
      <c r="K158" s="20">
        <v>0.03</v>
      </c>
      <c r="L158" s="20">
        <v>16.399999999999999</v>
      </c>
      <c r="M158" s="20">
        <v>0.13</v>
      </c>
      <c r="N158" s="20">
        <v>0.28000000000000003</v>
      </c>
      <c r="O158" s="20">
        <v>0.01</v>
      </c>
      <c r="P158" s="20">
        <v>8.4700000000000006</v>
      </c>
      <c r="Q158" s="20">
        <v>0.15</v>
      </c>
      <c r="R158" s="20">
        <v>6.43</v>
      </c>
      <c r="S158" s="20">
        <v>0.06</v>
      </c>
      <c r="T158" s="20">
        <v>3.03</v>
      </c>
      <c r="U158" s="20">
        <v>0.3</v>
      </c>
      <c r="V158" s="20">
        <v>0.49</v>
      </c>
      <c r="W158" s="20">
        <v>0.06</v>
      </c>
      <c r="X158" s="20">
        <v>0.83</v>
      </c>
      <c r="Y158" s="20">
        <v>0.08</v>
      </c>
      <c r="Z158" s="20">
        <v>6.39</v>
      </c>
      <c r="AA158" s="20">
        <v>0.1</v>
      </c>
      <c r="AB158" s="20">
        <v>0.64</v>
      </c>
      <c r="AC158" s="20">
        <v>0.02</v>
      </c>
    </row>
    <row r="159" spans="1:29" x14ac:dyDescent="0.25">
      <c r="A159" s="7">
        <v>942</v>
      </c>
      <c r="B159" s="3" t="s">
        <v>4</v>
      </c>
      <c r="C159" s="3" t="s">
        <v>227</v>
      </c>
      <c r="D159" s="20">
        <v>42.4</v>
      </c>
      <c r="E159" s="20">
        <v>0.46</v>
      </c>
      <c r="F159" s="20">
        <v>0.72</v>
      </c>
      <c r="G159" s="20">
        <v>7.0000000000000007E-2</v>
      </c>
      <c r="H159" s="20">
        <v>8.85</v>
      </c>
      <c r="I159" s="20">
        <v>0.13</v>
      </c>
      <c r="J159" s="20">
        <v>0.24</v>
      </c>
      <c r="K159" s="20">
        <v>0.03</v>
      </c>
      <c r="L159" s="20">
        <v>14.7</v>
      </c>
      <c r="M159" s="20">
        <v>0.12</v>
      </c>
      <c r="N159" s="20">
        <v>0.27</v>
      </c>
      <c r="O159" s="20">
        <v>0.01</v>
      </c>
      <c r="P159" s="20">
        <v>8</v>
      </c>
      <c r="Q159" s="20">
        <v>0.13</v>
      </c>
      <c r="R159" s="20">
        <v>8.84</v>
      </c>
      <c r="S159" s="20">
        <v>0.08</v>
      </c>
      <c r="T159" s="20">
        <v>2.75</v>
      </c>
      <c r="U159" s="20">
        <v>0.25</v>
      </c>
      <c r="V159" s="20">
        <v>0.43</v>
      </c>
      <c r="W159" s="20">
        <v>0.06</v>
      </c>
      <c r="X159" s="20">
        <v>0.84</v>
      </c>
      <c r="Y159" s="20">
        <v>0.08</v>
      </c>
      <c r="Z159" s="20">
        <v>11.31</v>
      </c>
      <c r="AA159" s="20">
        <v>0.15</v>
      </c>
      <c r="AB159" s="20">
        <v>0.57999999999999996</v>
      </c>
      <c r="AC159" s="20">
        <v>0.02</v>
      </c>
    </row>
    <row r="160" spans="1:29" x14ac:dyDescent="0.25">
      <c r="A160" s="7">
        <v>1013</v>
      </c>
      <c r="B160" s="3" t="s">
        <v>8</v>
      </c>
      <c r="C160" s="20" t="s">
        <v>228</v>
      </c>
      <c r="D160" s="20">
        <v>36.9</v>
      </c>
      <c r="E160" s="20">
        <v>0.4</v>
      </c>
      <c r="F160" s="20">
        <v>0.5</v>
      </c>
      <c r="G160" s="20">
        <v>7.0000000000000007E-2</v>
      </c>
      <c r="H160" s="20">
        <v>6.21</v>
      </c>
      <c r="I160" s="20">
        <v>0.11</v>
      </c>
      <c r="J160" s="20">
        <v>0.43</v>
      </c>
      <c r="K160" s="20">
        <v>0.04</v>
      </c>
      <c r="L160" s="20">
        <v>15.2</v>
      </c>
      <c r="M160" s="20">
        <v>0.12</v>
      </c>
      <c r="N160" s="20">
        <v>0.25</v>
      </c>
      <c r="O160" s="20">
        <v>0.01</v>
      </c>
      <c r="P160" s="20">
        <v>7.09</v>
      </c>
      <c r="Q160" s="20">
        <v>0.13</v>
      </c>
      <c r="R160" s="20">
        <v>7.62</v>
      </c>
      <c r="S160" s="20">
        <v>7.0000000000000007E-2</v>
      </c>
      <c r="T160" s="20">
        <v>1.98</v>
      </c>
      <c r="U160" s="20">
        <v>0.28000000000000003</v>
      </c>
      <c r="V160" s="20">
        <v>0.28000000000000003</v>
      </c>
      <c r="W160" s="20">
        <v>0.06</v>
      </c>
      <c r="X160" s="20">
        <v>0.88</v>
      </c>
      <c r="Y160" s="20">
        <v>0.09</v>
      </c>
      <c r="Z160" s="20">
        <v>22.1</v>
      </c>
      <c r="AA160" s="20">
        <v>0.24</v>
      </c>
      <c r="AB160" s="20">
        <v>0.39</v>
      </c>
      <c r="AC160" s="20">
        <v>0.01</v>
      </c>
    </row>
    <row r="161" spans="1:29" x14ac:dyDescent="0.25">
      <c r="A161" s="7">
        <v>1017</v>
      </c>
      <c r="B161" s="3" t="s">
        <v>8</v>
      </c>
      <c r="C161" s="20" t="s">
        <v>229</v>
      </c>
      <c r="D161" s="20">
        <v>46.6</v>
      </c>
      <c r="E161" s="20">
        <v>0.47</v>
      </c>
      <c r="F161" s="20">
        <v>0.8</v>
      </c>
      <c r="G161" s="20">
        <v>7.0000000000000007E-2</v>
      </c>
      <c r="H161" s="20">
        <v>10.38</v>
      </c>
      <c r="I161" s="20">
        <v>0.14000000000000001</v>
      </c>
      <c r="J161" s="20">
        <v>0.32</v>
      </c>
      <c r="K161" s="20">
        <v>0.03</v>
      </c>
      <c r="L161" s="20">
        <v>16.100000000000001</v>
      </c>
      <c r="M161" s="20">
        <v>0.11</v>
      </c>
      <c r="N161" s="20">
        <v>0.31</v>
      </c>
      <c r="O161" s="20">
        <v>0.01</v>
      </c>
      <c r="P161" s="20">
        <v>9.5399999999999991</v>
      </c>
      <c r="Q161" s="20">
        <v>0.15</v>
      </c>
      <c r="R161" s="20">
        <v>5.86</v>
      </c>
      <c r="S161" s="20">
        <v>0.05</v>
      </c>
      <c r="T161" s="20">
        <v>3.12</v>
      </c>
      <c r="U161" s="20">
        <v>0.28999999999999998</v>
      </c>
      <c r="V161" s="20">
        <v>0.84</v>
      </c>
      <c r="W161" s="20">
        <v>0.06</v>
      </c>
      <c r="X161" s="20">
        <v>0.88</v>
      </c>
      <c r="Y161" s="20">
        <v>0.08</v>
      </c>
      <c r="Z161" s="20">
        <v>4.57</v>
      </c>
      <c r="AA161" s="20">
        <v>7.0000000000000007E-2</v>
      </c>
      <c r="AB161" s="20">
        <v>0.57999999999999996</v>
      </c>
      <c r="AC161" s="20">
        <v>0.01</v>
      </c>
    </row>
    <row r="162" spans="1:29" x14ac:dyDescent="0.25">
      <c r="A162" s="7">
        <v>1027</v>
      </c>
      <c r="B162" s="3" t="s">
        <v>4</v>
      </c>
      <c r="C162" s="3" t="s">
        <v>230</v>
      </c>
      <c r="D162" s="20">
        <v>47.9</v>
      </c>
      <c r="E162" s="20">
        <v>0.44</v>
      </c>
      <c r="F162" s="20">
        <v>0.99</v>
      </c>
      <c r="G162" s="20">
        <v>7.0000000000000007E-2</v>
      </c>
      <c r="H162" s="20">
        <v>10.25</v>
      </c>
      <c r="I162" s="20">
        <v>0.12</v>
      </c>
      <c r="J162" s="20">
        <v>0.25</v>
      </c>
      <c r="K162" s="20">
        <v>0.03</v>
      </c>
      <c r="L162" s="20">
        <v>14.5</v>
      </c>
      <c r="M162" s="20">
        <v>0.09</v>
      </c>
      <c r="N162" s="20">
        <v>0.3</v>
      </c>
      <c r="O162" s="20">
        <v>0.01</v>
      </c>
      <c r="P162" s="20">
        <v>9.02</v>
      </c>
      <c r="Q162" s="20">
        <v>0.11</v>
      </c>
      <c r="R162" s="20">
        <v>5.81</v>
      </c>
      <c r="S162" s="20">
        <v>0.05</v>
      </c>
      <c r="T162" s="20">
        <v>2.74</v>
      </c>
      <c r="U162" s="20">
        <v>0.21</v>
      </c>
      <c r="V162" s="20">
        <v>1.25</v>
      </c>
      <c r="W162" s="20">
        <v>7.0000000000000007E-2</v>
      </c>
      <c r="X162" s="20">
        <v>1.01</v>
      </c>
      <c r="Y162" s="20">
        <v>0.08</v>
      </c>
      <c r="Z162" s="20">
        <v>4.96</v>
      </c>
      <c r="AA162" s="20">
        <v>0.08</v>
      </c>
      <c r="AB162" s="20">
        <v>0.79</v>
      </c>
      <c r="AC162" s="20">
        <v>0.02</v>
      </c>
    </row>
    <row r="163" spans="1:29" x14ac:dyDescent="0.25">
      <c r="A163" s="7">
        <v>1031</v>
      </c>
      <c r="B163" s="3" t="s">
        <v>5</v>
      </c>
      <c r="C163" s="3" t="s">
        <v>230</v>
      </c>
      <c r="D163" s="20">
        <v>47.8</v>
      </c>
      <c r="E163" s="20">
        <v>0.49</v>
      </c>
      <c r="F163" s="20">
        <v>1</v>
      </c>
      <c r="G163" s="20">
        <v>7.0000000000000007E-2</v>
      </c>
      <c r="H163" s="20">
        <v>10.31</v>
      </c>
      <c r="I163" s="20">
        <v>0.15</v>
      </c>
      <c r="J163" s="20">
        <v>0.28999999999999998</v>
      </c>
      <c r="K163" s="20">
        <v>0.03</v>
      </c>
      <c r="L163" s="20">
        <v>14.4</v>
      </c>
      <c r="M163" s="20">
        <v>0.11</v>
      </c>
      <c r="N163" s="20">
        <v>0.28999999999999998</v>
      </c>
      <c r="O163" s="20">
        <v>0.01</v>
      </c>
      <c r="P163" s="20">
        <v>9.25</v>
      </c>
      <c r="Q163" s="20">
        <v>0.14000000000000001</v>
      </c>
      <c r="R163" s="20">
        <v>5.68</v>
      </c>
      <c r="S163" s="20">
        <v>0.06</v>
      </c>
      <c r="T163" s="20">
        <v>2.82</v>
      </c>
      <c r="U163" s="20">
        <v>0.24</v>
      </c>
      <c r="V163" s="20">
        <v>1.32</v>
      </c>
      <c r="W163" s="20">
        <v>7.0000000000000007E-2</v>
      </c>
      <c r="X163" s="20">
        <v>1.05</v>
      </c>
      <c r="Y163" s="20">
        <v>0.08</v>
      </c>
      <c r="Z163" s="20">
        <v>4.7300000000000004</v>
      </c>
      <c r="AA163" s="20">
        <v>0.08</v>
      </c>
      <c r="AB163" s="20">
        <v>0.76</v>
      </c>
      <c r="AC163" s="20">
        <v>0.02</v>
      </c>
    </row>
    <row r="164" spans="1:29" x14ac:dyDescent="0.25">
      <c r="A164" s="7">
        <v>1035</v>
      </c>
      <c r="B164" s="3" t="s">
        <v>5</v>
      </c>
      <c r="C164" s="3" t="s">
        <v>231</v>
      </c>
      <c r="D164" s="20">
        <v>47.9</v>
      </c>
      <c r="E164" s="20">
        <v>0.49</v>
      </c>
      <c r="F164" s="20">
        <v>1</v>
      </c>
      <c r="G164" s="20">
        <v>7.0000000000000007E-2</v>
      </c>
      <c r="H164" s="20">
        <v>10.27</v>
      </c>
      <c r="I164" s="20">
        <v>0.15</v>
      </c>
      <c r="J164" s="20">
        <v>0.25</v>
      </c>
      <c r="K164" s="20">
        <v>0.03</v>
      </c>
      <c r="L164" s="20">
        <v>14.1</v>
      </c>
      <c r="M164" s="20">
        <v>0.11</v>
      </c>
      <c r="N164" s="20">
        <v>0.28000000000000003</v>
      </c>
      <c r="O164" s="20">
        <v>0.01</v>
      </c>
      <c r="P164" s="20">
        <v>9.84</v>
      </c>
      <c r="Q164" s="20">
        <v>0.16</v>
      </c>
      <c r="R164" s="20">
        <v>5.46</v>
      </c>
      <c r="S164" s="20">
        <v>0.05</v>
      </c>
      <c r="T164" s="20">
        <v>2.61</v>
      </c>
      <c r="U164" s="20">
        <v>0.31</v>
      </c>
      <c r="V164" s="20">
        <v>1.67</v>
      </c>
      <c r="W164" s="20">
        <v>7.0000000000000007E-2</v>
      </c>
      <c r="X164" s="20">
        <v>1.1200000000000001</v>
      </c>
      <c r="Y164" s="20">
        <v>0.08</v>
      </c>
      <c r="Z164" s="20">
        <v>4.4000000000000004</v>
      </c>
      <c r="AA164" s="20">
        <v>7.0000000000000007E-2</v>
      </c>
      <c r="AB164" s="20">
        <v>0.82</v>
      </c>
      <c r="AC164" s="20">
        <v>0.02</v>
      </c>
    </row>
    <row r="165" spans="1:29" x14ac:dyDescent="0.25">
      <c r="A165" s="7">
        <v>1055</v>
      </c>
      <c r="B165" s="3" t="s">
        <v>4</v>
      </c>
      <c r="C165" s="3" t="s">
        <v>232</v>
      </c>
      <c r="D165" s="20">
        <v>47.9</v>
      </c>
      <c r="E165" s="20">
        <v>0.5</v>
      </c>
      <c r="F165" s="20">
        <v>1.05</v>
      </c>
      <c r="G165" s="20">
        <v>0.08</v>
      </c>
      <c r="H165" s="20">
        <v>8.4</v>
      </c>
      <c r="I165" s="20">
        <v>0.13</v>
      </c>
      <c r="J165" s="20">
        <v>0.2</v>
      </c>
      <c r="K165" s="20">
        <v>0.03</v>
      </c>
      <c r="L165" s="20">
        <v>20.2</v>
      </c>
      <c r="M165" s="20">
        <v>0.15</v>
      </c>
      <c r="N165" s="20">
        <v>0.38</v>
      </c>
      <c r="O165" s="20">
        <v>0.01</v>
      </c>
      <c r="P165" s="20">
        <v>8.4499999999999993</v>
      </c>
      <c r="Q165" s="20">
        <v>0.13</v>
      </c>
      <c r="R165" s="20">
        <v>5.57</v>
      </c>
      <c r="S165" s="20">
        <v>0.06</v>
      </c>
      <c r="T165" s="20">
        <v>3.4</v>
      </c>
      <c r="U165" s="20">
        <v>0.25</v>
      </c>
      <c r="V165" s="20">
        <v>0.52</v>
      </c>
      <c r="W165" s="20">
        <v>0.06</v>
      </c>
      <c r="X165" s="20">
        <v>0.91</v>
      </c>
      <c r="Y165" s="20">
        <v>0.08</v>
      </c>
      <c r="Z165" s="20">
        <v>2.36</v>
      </c>
      <c r="AA165" s="20">
        <v>0.06</v>
      </c>
      <c r="AB165" s="20">
        <v>0.47</v>
      </c>
      <c r="AC165" s="20">
        <v>0.02</v>
      </c>
    </row>
    <row r="166" spans="1:29" x14ac:dyDescent="0.25">
      <c r="A166" s="7">
        <v>1072</v>
      </c>
      <c r="B166" s="3" t="s">
        <v>4</v>
      </c>
      <c r="C166" s="3" t="s">
        <v>233</v>
      </c>
      <c r="D166" s="20">
        <v>45.4</v>
      </c>
      <c r="E166" s="20">
        <v>0.44</v>
      </c>
      <c r="F166" s="20">
        <v>0.93</v>
      </c>
      <c r="G166" s="20">
        <v>7.0000000000000007E-2</v>
      </c>
      <c r="H166" s="20">
        <v>6.59</v>
      </c>
      <c r="I166" s="20">
        <v>0.1</v>
      </c>
      <c r="J166" s="20">
        <v>0.14000000000000001</v>
      </c>
      <c r="K166" s="20">
        <v>0.03</v>
      </c>
      <c r="L166" s="20">
        <v>19.5</v>
      </c>
      <c r="M166" s="20">
        <v>0.14000000000000001</v>
      </c>
      <c r="N166" s="20">
        <v>0.15</v>
      </c>
      <c r="O166" s="20">
        <v>0.01</v>
      </c>
      <c r="P166" s="20">
        <v>13.02</v>
      </c>
      <c r="Q166" s="20">
        <v>0.16</v>
      </c>
      <c r="R166" s="20">
        <v>3.13</v>
      </c>
      <c r="S166" s="20">
        <v>0.04</v>
      </c>
      <c r="T166" s="20">
        <v>1.06</v>
      </c>
      <c r="U166" s="20">
        <v>0.24</v>
      </c>
      <c r="V166" s="20">
        <v>2.97</v>
      </c>
      <c r="W166" s="20">
        <v>0.08</v>
      </c>
      <c r="X166" s="20">
        <v>0.69</v>
      </c>
      <c r="Y166" s="20">
        <v>7.0000000000000007E-2</v>
      </c>
      <c r="Z166" s="20">
        <v>5.16</v>
      </c>
      <c r="AA166" s="20">
        <v>0.08</v>
      </c>
      <c r="AB166" s="20">
        <v>1.02</v>
      </c>
      <c r="AC166" s="20">
        <v>0.02</v>
      </c>
    </row>
    <row r="167" spans="1:29" x14ac:dyDescent="0.25">
      <c r="A167" s="7">
        <v>1079</v>
      </c>
      <c r="B167" s="3" t="s">
        <v>5</v>
      </c>
      <c r="C167" s="3" t="s">
        <v>234</v>
      </c>
      <c r="D167" s="20">
        <v>45.3</v>
      </c>
      <c r="E167" s="20">
        <v>0.46</v>
      </c>
      <c r="F167" s="20">
        <v>0.84</v>
      </c>
      <c r="G167" s="20">
        <v>7.0000000000000007E-2</v>
      </c>
      <c r="H167" s="20">
        <v>6.53</v>
      </c>
      <c r="I167" s="20">
        <v>0.11</v>
      </c>
      <c r="J167" s="20">
        <v>0.14000000000000001</v>
      </c>
      <c r="K167" s="20">
        <v>0.03</v>
      </c>
      <c r="L167" s="20">
        <v>18.899999999999999</v>
      </c>
      <c r="M167" s="20">
        <v>0.14000000000000001</v>
      </c>
      <c r="N167" s="20">
        <v>0.12</v>
      </c>
      <c r="O167" s="20">
        <v>0.01</v>
      </c>
      <c r="P167" s="20">
        <v>12.69</v>
      </c>
      <c r="Q167" s="20">
        <v>0.16</v>
      </c>
      <c r="R167" s="20">
        <v>3.55</v>
      </c>
      <c r="S167" s="20">
        <v>0.04</v>
      </c>
      <c r="T167" s="20">
        <v>1.1399999999999999</v>
      </c>
      <c r="U167" s="20">
        <v>0.24</v>
      </c>
      <c r="V167" s="20">
        <v>2.86</v>
      </c>
      <c r="W167" s="20">
        <v>0.08</v>
      </c>
      <c r="X167" s="20">
        <v>0.67</v>
      </c>
      <c r="Y167" s="20">
        <v>0.08</v>
      </c>
      <c r="Z167" s="20">
        <v>6.11</v>
      </c>
      <c r="AA167" s="20">
        <v>0.09</v>
      </c>
      <c r="AB167" s="20">
        <v>0.98</v>
      </c>
      <c r="AC167" s="20">
        <v>0.02</v>
      </c>
    </row>
    <row r="168" spans="1:29" x14ac:dyDescent="0.25">
      <c r="A168" s="7">
        <v>1081</v>
      </c>
      <c r="B168" s="3" t="s">
        <v>4</v>
      </c>
      <c r="C168" s="3" t="s">
        <v>235</v>
      </c>
      <c r="D168" s="20">
        <v>46.4</v>
      </c>
      <c r="E168" s="20">
        <v>0.53</v>
      </c>
      <c r="F168" s="20">
        <v>0.88</v>
      </c>
      <c r="G168" s="20">
        <v>0.08</v>
      </c>
      <c r="H168" s="20">
        <v>9.57</v>
      </c>
      <c r="I168" s="20">
        <v>0.17</v>
      </c>
      <c r="J168" s="20">
        <v>0.27</v>
      </c>
      <c r="K168" s="20">
        <v>0.04</v>
      </c>
      <c r="L168" s="20">
        <v>15.9</v>
      </c>
      <c r="M168" s="20">
        <v>0.14000000000000001</v>
      </c>
      <c r="N168" s="20">
        <v>0.28999999999999998</v>
      </c>
      <c r="O168" s="20">
        <v>0.02</v>
      </c>
      <c r="P168" s="20">
        <v>9.3699999999999992</v>
      </c>
      <c r="Q168" s="20">
        <v>0.19</v>
      </c>
      <c r="R168" s="20">
        <v>6.04</v>
      </c>
      <c r="S168" s="20">
        <v>7.0000000000000007E-2</v>
      </c>
      <c r="T168" s="20">
        <v>2.4</v>
      </c>
      <c r="U168" s="20">
        <v>0.37</v>
      </c>
      <c r="V168" s="20">
        <v>1.1499999999999999</v>
      </c>
      <c r="W168" s="20">
        <v>7.0000000000000007E-2</v>
      </c>
      <c r="X168" s="20">
        <v>1.1299999999999999</v>
      </c>
      <c r="Y168" s="20">
        <v>0.09</v>
      </c>
      <c r="Z168" s="20">
        <v>5.41</v>
      </c>
      <c r="AA168" s="20">
        <v>0.1</v>
      </c>
      <c r="AB168" s="20">
        <v>0.98</v>
      </c>
      <c r="AC168" s="20">
        <v>0.03</v>
      </c>
    </row>
    <row r="169" spans="1:29" x14ac:dyDescent="0.25">
      <c r="A169" s="7">
        <v>1098</v>
      </c>
      <c r="B169" s="3" t="s">
        <v>8</v>
      </c>
      <c r="C169" s="20" t="s">
        <v>236</v>
      </c>
      <c r="D169" s="20">
        <v>32.9</v>
      </c>
      <c r="E169" s="20">
        <v>0.33</v>
      </c>
      <c r="F169" s="20">
        <v>0.51</v>
      </c>
      <c r="G169" s="20">
        <v>7.0000000000000007E-2</v>
      </c>
      <c r="H169" s="20">
        <v>5.0599999999999996</v>
      </c>
      <c r="I169" s="20">
        <v>0.11</v>
      </c>
      <c r="J169" s="20">
        <v>0.51</v>
      </c>
      <c r="K169" s="20">
        <v>0.05</v>
      </c>
      <c r="L169" s="20">
        <v>14.8</v>
      </c>
      <c r="M169" s="20">
        <v>0.1</v>
      </c>
      <c r="N169" s="20">
        <v>0.18</v>
      </c>
      <c r="O169" s="20">
        <v>0.02</v>
      </c>
      <c r="P169" s="20">
        <v>6.54</v>
      </c>
      <c r="Q169" s="20">
        <v>0.15</v>
      </c>
      <c r="R169" s="20">
        <v>9.02</v>
      </c>
      <c r="S169" s="20">
        <v>0.09</v>
      </c>
      <c r="T169" s="20">
        <v>1.06</v>
      </c>
      <c r="U169" s="20">
        <v>0.28000000000000003</v>
      </c>
      <c r="V169" s="20">
        <v>0.27</v>
      </c>
      <c r="W169" s="20">
        <v>0.06</v>
      </c>
      <c r="X169" s="20">
        <v>0.95</v>
      </c>
      <c r="Y169" s="20">
        <v>0.1</v>
      </c>
      <c r="Z169" s="20">
        <v>27.64</v>
      </c>
      <c r="AA169" s="20">
        <v>0.3</v>
      </c>
      <c r="AB169" s="20">
        <v>0.42</v>
      </c>
      <c r="AC169" s="20">
        <v>0.02</v>
      </c>
    </row>
    <row r="170" spans="1:29" x14ac:dyDescent="0.25">
      <c r="A170" s="7">
        <v>1143</v>
      </c>
      <c r="B170" s="3" t="s">
        <v>5</v>
      </c>
      <c r="C170" s="3" t="s">
        <v>237</v>
      </c>
      <c r="D170" s="20">
        <v>43.8</v>
      </c>
      <c r="E170" s="20">
        <v>0.33</v>
      </c>
      <c r="F170" s="20">
        <v>0.98</v>
      </c>
      <c r="G170" s="20">
        <v>7.0000000000000007E-2</v>
      </c>
      <c r="H170" s="20">
        <v>8.82</v>
      </c>
      <c r="I170" s="20">
        <v>0.12</v>
      </c>
      <c r="J170" s="20">
        <v>0.24</v>
      </c>
      <c r="K170" s="20">
        <v>0.03</v>
      </c>
      <c r="L170" s="20">
        <v>16.899999999999999</v>
      </c>
      <c r="M170" s="20">
        <v>0.09</v>
      </c>
      <c r="N170" s="20">
        <v>0.32</v>
      </c>
      <c r="O170" s="20">
        <v>0.01</v>
      </c>
      <c r="P170" s="20">
        <v>12.64</v>
      </c>
      <c r="Q170" s="20">
        <v>0.15</v>
      </c>
      <c r="R170" s="20">
        <v>4.8499999999999996</v>
      </c>
      <c r="S170" s="20">
        <v>0.05</v>
      </c>
      <c r="T170" s="20">
        <v>1.93</v>
      </c>
      <c r="U170" s="20">
        <v>0.22</v>
      </c>
      <c r="V170" s="20">
        <v>1.78</v>
      </c>
      <c r="W170" s="20">
        <v>0.08</v>
      </c>
      <c r="X170" s="20">
        <v>1.08</v>
      </c>
      <c r="Y170" s="20">
        <v>0.08</v>
      </c>
      <c r="Z170" s="20">
        <v>4.8499999999999996</v>
      </c>
      <c r="AA170" s="20">
        <v>0.08</v>
      </c>
      <c r="AB170" s="20">
        <v>1.25</v>
      </c>
      <c r="AC170" s="20">
        <v>0.03</v>
      </c>
    </row>
    <row r="171" spans="1:29" x14ac:dyDescent="0.25">
      <c r="A171" s="7">
        <v>1157</v>
      </c>
      <c r="B171" s="3" t="s">
        <v>4</v>
      </c>
      <c r="C171" s="3" t="s">
        <v>238</v>
      </c>
      <c r="D171" s="20">
        <v>72.400000000000006</v>
      </c>
      <c r="E171" s="20">
        <v>0.52</v>
      </c>
      <c r="F171" s="20">
        <v>0.75</v>
      </c>
      <c r="G171" s="20">
        <v>0.06</v>
      </c>
      <c r="H171" s="20">
        <v>4.67</v>
      </c>
      <c r="I171" s="20">
        <v>0.06</v>
      </c>
      <c r="J171" s="20">
        <v>0.26</v>
      </c>
      <c r="K171" s="20">
        <v>0.03</v>
      </c>
      <c r="L171" s="20">
        <v>6.9</v>
      </c>
      <c r="M171" s="20">
        <v>0.04</v>
      </c>
      <c r="N171" s="20">
        <v>0.11</v>
      </c>
      <c r="O171" s="20">
        <v>0.01</v>
      </c>
      <c r="P171" s="20">
        <v>5.49</v>
      </c>
      <c r="Q171" s="20">
        <v>0.09</v>
      </c>
      <c r="R171" s="20">
        <v>2.67</v>
      </c>
      <c r="S171" s="20">
        <v>0.03</v>
      </c>
      <c r="T171" s="20">
        <v>1.36</v>
      </c>
      <c r="U171" s="20">
        <v>0.22</v>
      </c>
      <c r="V171" s="20">
        <v>0.24</v>
      </c>
      <c r="W171" s="20">
        <v>0.06</v>
      </c>
      <c r="X171" s="20">
        <v>0.6</v>
      </c>
      <c r="Y171" s="20">
        <v>7.0000000000000007E-2</v>
      </c>
      <c r="Z171" s="20">
        <v>3.78</v>
      </c>
      <c r="AA171" s="20">
        <v>0.06</v>
      </c>
      <c r="AB171" s="20">
        <v>0.51</v>
      </c>
      <c r="AC171" s="20">
        <v>0.01</v>
      </c>
    </row>
    <row r="172" spans="1:29" x14ac:dyDescent="0.25">
      <c r="A172" s="7">
        <v>1168</v>
      </c>
      <c r="B172" s="3" t="s">
        <v>4</v>
      </c>
      <c r="C172" s="3" t="s">
        <v>239</v>
      </c>
      <c r="D172" s="20">
        <v>48.5</v>
      </c>
      <c r="E172" s="20">
        <v>0.43</v>
      </c>
      <c r="F172" s="20">
        <v>0.87</v>
      </c>
      <c r="G172" s="20">
        <v>0.06</v>
      </c>
      <c r="H172" s="20">
        <v>10.31</v>
      </c>
      <c r="I172" s="20">
        <v>0.12</v>
      </c>
      <c r="J172" s="20">
        <v>0.28000000000000003</v>
      </c>
      <c r="K172" s="20">
        <v>0.03</v>
      </c>
      <c r="L172" s="20">
        <v>14.7</v>
      </c>
      <c r="M172" s="20">
        <v>0.09</v>
      </c>
      <c r="N172" s="20">
        <v>0.26</v>
      </c>
      <c r="O172" s="20">
        <v>0.01</v>
      </c>
      <c r="P172" s="20">
        <v>9.4600000000000009</v>
      </c>
      <c r="Q172" s="20">
        <v>0.14000000000000001</v>
      </c>
      <c r="R172" s="20">
        <v>5.66</v>
      </c>
      <c r="S172" s="20">
        <v>0.04</v>
      </c>
      <c r="T172" s="20">
        <v>2.72</v>
      </c>
      <c r="U172" s="20">
        <v>0.28000000000000003</v>
      </c>
      <c r="V172" s="20">
        <v>1.06</v>
      </c>
      <c r="W172" s="20">
        <v>0.06</v>
      </c>
      <c r="X172" s="20">
        <v>0.92</v>
      </c>
      <c r="Y172" s="20">
        <v>7.0000000000000007E-2</v>
      </c>
      <c r="Z172" s="20">
        <v>4.21</v>
      </c>
      <c r="AA172" s="20">
        <v>0.06</v>
      </c>
      <c r="AB172" s="20">
        <v>0.92</v>
      </c>
      <c r="AC172" s="20">
        <v>0.01</v>
      </c>
    </row>
    <row r="173" spans="1:29" x14ac:dyDescent="0.25">
      <c r="A173" s="7">
        <v>1173</v>
      </c>
      <c r="B173" s="3" t="s">
        <v>4</v>
      </c>
      <c r="C173" s="3" t="s">
        <v>240</v>
      </c>
      <c r="D173" s="20">
        <v>45.2</v>
      </c>
      <c r="E173" s="20">
        <v>0.34</v>
      </c>
      <c r="F173" s="20">
        <v>0.53</v>
      </c>
      <c r="G173" s="20">
        <v>0.06</v>
      </c>
      <c r="H173" s="20">
        <v>5.83</v>
      </c>
      <c r="I173" s="20">
        <v>0.08</v>
      </c>
      <c r="J173" s="20">
        <v>0.45</v>
      </c>
      <c r="K173" s="20">
        <v>0.03</v>
      </c>
      <c r="L173" s="20">
        <v>19.100000000000001</v>
      </c>
      <c r="M173" s="20">
        <v>0.09</v>
      </c>
      <c r="N173" s="20">
        <v>0.34</v>
      </c>
      <c r="O173" s="20">
        <v>0.01</v>
      </c>
      <c r="P173" s="20">
        <v>18.25</v>
      </c>
      <c r="Q173" s="20">
        <v>0.17</v>
      </c>
      <c r="R173" s="20">
        <v>3.11</v>
      </c>
      <c r="S173" s="20">
        <v>0.03</v>
      </c>
      <c r="T173" s="20">
        <v>1.32</v>
      </c>
      <c r="U173" s="20">
        <v>0.2</v>
      </c>
      <c r="V173" s="20">
        <v>0.47</v>
      </c>
      <c r="W173" s="20">
        <v>0.06</v>
      </c>
      <c r="X173" s="20">
        <v>0.6</v>
      </c>
      <c r="Y173" s="20">
        <v>7.0000000000000007E-2</v>
      </c>
      <c r="Z173" s="20">
        <v>3.41</v>
      </c>
      <c r="AA173" s="20">
        <v>0.05</v>
      </c>
      <c r="AB173" s="20">
        <v>1.1599999999999999</v>
      </c>
      <c r="AC173" s="20">
        <v>0.02</v>
      </c>
    </row>
    <row r="174" spans="1:29" x14ac:dyDescent="0.25">
      <c r="A174" s="7">
        <v>1177</v>
      </c>
      <c r="B174" s="3" t="s">
        <v>5</v>
      </c>
      <c r="C174" s="3" t="s">
        <v>241</v>
      </c>
      <c r="D174" s="20">
        <v>46.1</v>
      </c>
      <c r="E174" s="20">
        <v>0.4</v>
      </c>
      <c r="F174" s="20">
        <v>0.38</v>
      </c>
      <c r="G174" s="20">
        <v>0.06</v>
      </c>
      <c r="H174" s="20">
        <v>3.3</v>
      </c>
      <c r="I174" s="20">
        <v>0.08</v>
      </c>
      <c r="J174" s="20">
        <v>0.71</v>
      </c>
      <c r="K174" s="20">
        <v>0.03</v>
      </c>
      <c r="L174" s="20">
        <v>19.2</v>
      </c>
      <c r="M174" s="20">
        <v>0.11</v>
      </c>
      <c r="N174" s="20">
        <v>0.27</v>
      </c>
      <c r="O174" s="20">
        <v>0.01</v>
      </c>
      <c r="P174" s="20">
        <v>21.1</v>
      </c>
      <c r="Q174" s="20">
        <v>0.2</v>
      </c>
      <c r="R174" s="20">
        <v>2.14</v>
      </c>
      <c r="S174" s="20">
        <v>0.02</v>
      </c>
      <c r="T174" s="20">
        <v>0.21</v>
      </c>
      <c r="U174" s="20">
        <v>0.18</v>
      </c>
      <c r="V174" s="20">
        <v>0.67</v>
      </c>
      <c r="W174" s="20">
        <v>0.06</v>
      </c>
      <c r="X174" s="20">
        <v>0.52</v>
      </c>
      <c r="Y174" s="20">
        <v>7.0000000000000007E-2</v>
      </c>
      <c r="Z174" s="20">
        <v>3.39</v>
      </c>
      <c r="AA174" s="20">
        <v>0.05</v>
      </c>
      <c r="AB174" s="20">
        <v>1.7</v>
      </c>
      <c r="AC174" s="20">
        <v>0.02</v>
      </c>
    </row>
    <row r="175" spans="1:29" x14ac:dyDescent="0.25">
      <c r="A175" s="7">
        <v>1179</v>
      </c>
      <c r="B175" s="3" t="s">
        <v>4</v>
      </c>
      <c r="C175" s="3" t="s">
        <v>242</v>
      </c>
      <c r="D175" s="20">
        <v>53.9</v>
      </c>
      <c r="E175" s="20">
        <v>0.5</v>
      </c>
      <c r="F175" s="20">
        <v>0.73</v>
      </c>
      <c r="G175" s="20">
        <v>7.0000000000000007E-2</v>
      </c>
      <c r="H175" s="20">
        <v>5.99</v>
      </c>
      <c r="I175" s="20">
        <v>0.1</v>
      </c>
      <c r="J175" s="20">
        <v>0.48</v>
      </c>
      <c r="K175" s="20">
        <v>0.03</v>
      </c>
      <c r="L175" s="20">
        <v>14.8</v>
      </c>
      <c r="M175" s="20">
        <v>0.1</v>
      </c>
      <c r="N175" s="20">
        <v>0.2</v>
      </c>
      <c r="O175" s="20">
        <v>0.01</v>
      </c>
      <c r="P175" s="20">
        <v>10.82</v>
      </c>
      <c r="Q175" s="20">
        <v>0.13</v>
      </c>
      <c r="R175" s="20">
        <v>3.85</v>
      </c>
      <c r="S175" s="20">
        <v>0.04</v>
      </c>
      <c r="T175" s="20">
        <v>1.96</v>
      </c>
      <c r="U175" s="20">
        <v>0.22</v>
      </c>
      <c r="V175" s="20">
        <v>0.42</v>
      </c>
      <c r="W175" s="20">
        <v>0.06</v>
      </c>
      <c r="X175" s="20">
        <v>0.72</v>
      </c>
      <c r="Y175" s="20">
        <v>7.0000000000000007E-2</v>
      </c>
      <c r="Z175" s="20">
        <v>4.34</v>
      </c>
      <c r="AA175" s="20">
        <v>0.06</v>
      </c>
      <c r="AB175" s="20">
        <v>1.53</v>
      </c>
      <c r="AC175" s="20">
        <v>0.02</v>
      </c>
    </row>
    <row r="176" spans="1:29" x14ac:dyDescent="0.25">
      <c r="A176" s="7">
        <v>1190</v>
      </c>
      <c r="B176" s="3" t="s">
        <v>8</v>
      </c>
      <c r="C176" s="20" t="s">
        <v>243</v>
      </c>
      <c r="D176" s="20">
        <v>90.5</v>
      </c>
      <c r="E176" s="20">
        <v>0.85</v>
      </c>
      <c r="F176" s="20">
        <v>1.21</v>
      </c>
      <c r="G176" s="20">
        <v>7.0000000000000007E-2</v>
      </c>
      <c r="H176" s="20">
        <v>1.66</v>
      </c>
      <c r="I176" s="20">
        <v>0.1</v>
      </c>
      <c r="J176" s="20">
        <v>0.33</v>
      </c>
      <c r="K176" s="20">
        <v>0.03</v>
      </c>
      <c r="L176" s="20">
        <v>1.4</v>
      </c>
      <c r="M176" s="20">
        <v>0.02</v>
      </c>
      <c r="N176" s="20">
        <v>0.03</v>
      </c>
      <c r="O176" s="20">
        <v>4.0000000000000001E-3</v>
      </c>
      <c r="P176" s="20">
        <v>2.2999999999999998</v>
      </c>
      <c r="Q176" s="20">
        <v>0.06</v>
      </c>
      <c r="R176" s="20">
        <v>0.71</v>
      </c>
      <c r="S176" s="20">
        <v>0.01</v>
      </c>
      <c r="T176" s="20">
        <v>0.32</v>
      </c>
      <c r="U176" s="20">
        <v>0.16</v>
      </c>
      <c r="V176" s="20">
        <v>0</v>
      </c>
      <c r="W176" s="20">
        <v>0.05</v>
      </c>
      <c r="X176" s="20">
        <v>0.3</v>
      </c>
      <c r="Y176" s="20">
        <v>0.06</v>
      </c>
      <c r="Z176" s="20">
        <v>0.99</v>
      </c>
      <c r="AA176" s="20">
        <v>0.03</v>
      </c>
      <c r="AB176" s="20">
        <v>0.14000000000000001</v>
      </c>
      <c r="AC176" s="20">
        <v>0.01</v>
      </c>
    </row>
    <row r="177" spans="1:29" x14ac:dyDescent="0.25">
      <c r="A177" s="7">
        <v>1194</v>
      </c>
      <c r="B177" s="3" t="s">
        <v>8</v>
      </c>
      <c r="C177" s="20" t="s">
        <v>244</v>
      </c>
      <c r="D177" s="20">
        <v>90.1</v>
      </c>
      <c r="E177" s="20">
        <v>0.83</v>
      </c>
      <c r="F177" s="20">
        <v>1.22</v>
      </c>
      <c r="G177" s="20">
        <v>7.0000000000000007E-2</v>
      </c>
      <c r="H177" s="20">
        <v>1.79</v>
      </c>
      <c r="I177" s="20">
        <v>0.06</v>
      </c>
      <c r="J177" s="20">
        <v>0.31</v>
      </c>
      <c r="K177" s="20">
        <v>0.03</v>
      </c>
      <c r="L177" s="20">
        <v>1.5</v>
      </c>
      <c r="M177" s="20">
        <v>0.02</v>
      </c>
      <c r="N177" s="20">
        <v>0.03</v>
      </c>
      <c r="O177" s="20">
        <v>4.0000000000000001E-3</v>
      </c>
      <c r="P177" s="20">
        <v>2.39</v>
      </c>
      <c r="Q177" s="20">
        <v>0.06</v>
      </c>
      <c r="R177" s="20">
        <v>0.77</v>
      </c>
      <c r="S177" s="20">
        <v>0.01</v>
      </c>
      <c r="T177" s="20">
        <v>0.31</v>
      </c>
      <c r="U177" s="20">
        <v>0.16</v>
      </c>
      <c r="V177" s="20">
        <v>0</v>
      </c>
      <c r="W177" s="20">
        <v>0.05</v>
      </c>
      <c r="X177" s="20">
        <v>0.31</v>
      </c>
      <c r="Y177" s="20">
        <v>0.06</v>
      </c>
      <c r="Z177" s="20">
        <v>1.1200000000000001</v>
      </c>
      <c r="AA177" s="20">
        <v>0.03</v>
      </c>
      <c r="AB177" s="20">
        <v>0.16</v>
      </c>
      <c r="AC177" s="20">
        <v>0.01</v>
      </c>
    </row>
    <row r="178" spans="1:29" x14ac:dyDescent="0.25">
      <c r="A178" s="7">
        <v>1199</v>
      </c>
      <c r="B178" s="3" t="s">
        <v>8</v>
      </c>
      <c r="C178" s="20" t="s">
        <v>245</v>
      </c>
      <c r="D178" s="20">
        <v>74.599999999999994</v>
      </c>
      <c r="E178" s="20">
        <v>0.73</v>
      </c>
      <c r="F178" s="20">
        <v>1.35</v>
      </c>
      <c r="G178" s="20">
        <v>7.0000000000000007E-2</v>
      </c>
      <c r="H178" s="20">
        <v>4.83</v>
      </c>
      <c r="I178" s="20">
        <v>0.1</v>
      </c>
      <c r="J178" s="20">
        <v>0.61</v>
      </c>
      <c r="K178" s="20">
        <v>0.04</v>
      </c>
      <c r="L178" s="20">
        <v>6.2</v>
      </c>
      <c r="M178" s="20">
        <v>0.06</v>
      </c>
      <c r="N178" s="20">
        <v>0.13</v>
      </c>
      <c r="O178" s="20">
        <v>0.01</v>
      </c>
      <c r="P178" s="20">
        <v>4.1900000000000004</v>
      </c>
      <c r="Q178" s="20">
        <v>0.1</v>
      </c>
      <c r="R178" s="20">
        <v>2.73</v>
      </c>
      <c r="S178" s="20">
        <v>0.03</v>
      </c>
      <c r="T178" s="20">
        <v>1.3</v>
      </c>
      <c r="U178" s="20">
        <v>0.24</v>
      </c>
      <c r="V178" s="20">
        <v>0.18</v>
      </c>
      <c r="W178" s="20">
        <v>0.06</v>
      </c>
      <c r="X178" s="20">
        <v>0.53</v>
      </c>
      <c r="Y178" s="20">
        <v>7.0000000000000007E-2</v>
      </c>
      <c r="Z178" s="20">
        <v>2.91</v>
      </c>
      <c r="AA178" s="20">
        <v>0.05</v>
      </c>
      <c r="AB178" s="20">
        <v>0.3</v>
      </c>
      <c r="AC178" s="20">
        <v>0.01</v>
      </c>
    </row>
    <row r="179" spans="1:29" x14ac:dyDescent="0.25">
      <c r="A179" s="7">
        <v>1206</v>
      </c>
      <c r="B179" s="3" t="s">
        <v>97</v>
      </c>
      <c r="C179" s="3" t="s">
        <v>246</v>
      </c>
      <c r="D179" s="20">
        <v>46.8</v>
      </c>
      <c r="E179" s="20">
        <v>0.39</v>
      </c>
      <c r="F179" s="20">
        <v>1.2</v>
      </c>
      <c r="G179" s="20">
        <v>7.0000000000000007E-2</v>
      </c>
      <c r="H179" s="20">
        <v>10.23</v>
      </c>
      <c r="I179" s="20">
        <v>0.11</v>
      </c>
      <c r="J179" s="20">
        <v>0.33</v>
      </c>
      <c r="K179" s="20">
        <v>0.03</v>
      </c>
      <c r="L179" s="20">
        <v>15.5</v>
      </c>
      <c r="M179" s="20">
        <v>0.08</v>
      </c>
      <c r="N179" s="20">
        <v>0.33</v>
      </c>
      <c r="O179" s="20">
        <v>0.01</v>
      </c>
      <c r="P179" s="20">
        <v>9.4</v>
      </c>
      <c r="Q179" s="20">
        <v>0.11</v>
      </c>
      <c r="R179" s="20">
        <v>6.41</v>
      </c>
      <c r="S179" s="20">
        <v>0.05</v>
      </c>
      <c r="T179" s="20">
        <v>2.99</v>
      </c>
      <c r="U179" s="20">
        <v>0.21</v>
      </c>
      <c r="V179" s="20">
        <v>0.46</v>
      </c>
      <c r="W179" s="20">
        <v>0.06</v>
      </c>
      <c r="X179" s="20">
        <v>1.63</v>
      </c>
      <c r="Y179" s="20">
        <v>0.08</v>
      </c>
      <c r="Z179" s="20">
        <v>3.78</v>
      </c>
      <c r="AA179" s="20">
        <v>0.06</v>
      </c>
      <c r="AB179" s="20">
        <v>0.75</v>
      </c>
      <c r="AC179" s="20">
        <v>0.02</v>
      </c>
    </row>
    <row r="180" spans="1:29" x14ac:dyDescent="0.25">
      <c r="A180" s="7">
        <v>1209</v>
      </c>
      <c r="B180" s="3" t="s">
        <v>97</v>
      </c>
      <c r="C180" s="3" t="s">
        <v>247</v>
      </c>
      <c r="D180" s="20">
        <v>46</v>
      </c>
      <c r="E180" s="20">
        <v>0.41</v>
      </c>
      <c r="F180" s="20">
        <v>1.01</v>
      </c>
      <c r="G180" s="20">
        <v>7.0000000000000007E-2</v>
      </c>
      <c r="H180" s="20">
        <v>10.039999999999999</v>
      </c>
      <c r="I180" s="20">
        <v>0.13</v>
      </c>
      <c r="J180" s="20">
        <v>0.31</v>
      </c>
      <c r="K180" s="20">
        <v>0.03</v>
      </c>
      <c r="L180" s="20">
        <v>15.9</v>
      </c>
      <c r="M180" s="20">
        <v>0.1</v>
      </c>
      <c r="N180" s="20">
        <v>0.33</v>
      </c>
      <c r="O180" s="20">
        <v>0.01</v>
      </c>
      <c r="P180" s="20">
        <v>8.83</v>
      </c>
      <c r="Q180" s="20">
        <v>0.14000000000000001</v>
      </c>
      <c r="R180" s="20">
        <v>6.18</v>
      </c>
      <c r="S180" s="20">
        <v>0.04</v>
      </c>
      <c r="T180" s="20">
        <v>3.13</v>
      </c>
      <c r="U180" s="20">
        <v>0.3</v>
      </c>
      <c r="V180" s="20">
        <v>0.43</v>
      </c>
      <c r="W180" s="20">
        <v>0.06</v>
      </c>
      <c r="X180" s="20">
        <v>1.08</v>
      </c>
      <c r="Y180" s="20">
        <v>0.08</v>
      </c>
      <c r="Z180" s="20">
        <v>5.88</v>
      </c>
      <c r="AA180" s="20">
        <v>7.0000000000000007E-2</v>
      </c>
      <c r="AB180" s="20">
        <v>0.8</v>
      </c>
      <c r="AC180" s="20">
        <v>0.01</v>
      </c>
    </row>
    <row r="181" spans="1:29" x14ac:dyDescent="0.25">
      <c r="A181" s="7">
        <v>1211</v>
      </c>
      <c r="B181" s="3" t="s">
        <v>97</v>
      </c>
      <c r="C181" s="3" t="s">
        <v>248</v>
      </c>
      <c r="D181" s="20">
        <v>46.7</v>
      </c>
      <c r="E181" s="20">
        <v>0.42</v>
      </c>
      <c r="F181" s="20">
        <v>0.86</v>
      </c>
      <c r="G181" s="20">
        <v>7.0000000000000007E-2</v>
      </c>
      <c r="H181" s="20">
        <v>9.84</v>
      </c>
      <c r="I181" s="20">
        <v>0.12</v>
      </c>
      <c r="J181" s="20">
        <v>0.45</v>
      </c>
      <c r="K181" s="20">
        <v>0.03</v>
      </c>
      <c r="L181" s="20">
        <v>16.600000000000001</v>
      </c>
      <c r="M181" s="20">
        <v>0.11</v>
      </c>
      <c r="N181" s="20">
        <v>0.34</v>
      </c>
      <c r="O181" s="20">
        <v>0.01</v>
      </c>
      <c r="P181" s="20">
        <v>9.7899999999999991</v>
      </c>
      <c r="Q181" s="20">
        <v>0.12</v>
      </c>
      <c r="R181" s="20">
        <v>6.26</v>
      </c>
      <c r="S181" s="20">
        <v>0.05</v>
      </c>
      <c r="T181" s="20">
        <v>3.13</v>
      </c>
      <c r="U181" s="20">
        <v>0.21</v>
      </c>
      <c r="V181" s="20">
        <v>0.43</v>
      </c>
      <c r="W181" s="20">
        <v>0.06</v>
      </c>
      <c r="X181" s="20">
        <v>1.06</v>
      </c>
      <c r="Y181" s="20">
        <v>0.08</v>
      </c>
      <c r="Z181" s="20">
        <v>3.79</v>
      </c>
      <c r="AA181" s="20">
        <v>0.06</v>
      </c>
      <c r="AB181" s="20">
        <v>0.6</v>
      </c>
      <c r="AC181" s="20">
        <v>0.01</v>
      </c>
    </row>
    <row r="182" spans="1:29" x14ac:dyDescent="0.25">
      <c r="A182" s="7">
        <v>1216</v>
      </c>
      <c r="B182" s="3" t="s">
        <v>5</v>
      </c>
      <c r="C182" s="3" t="s">
        <v>249</v>
      </c>
      <c r="D182" s="20">
        <v>46.2</v>
      </c>
      <c r="E182" s="20">
        <v>0.43</v>
      </c>
      <c r="F182" s="20">
        <v>0.9</v>
      </c>
      <c r="G182" s="20">
        <v>7.0000000000000007E-2</v>
      </c>
      <c r="H182" s="20">
        <v>9.7200000000000006</v>
      </c>
      <c r="I182" s="20">
        <v>0.13</v>
      </c>
      <c r="J182" s="20">
        <v>0.42</v>
      </c>
      <c r="K182" s="20">
        <v>0.03</v>
      </c>
      <c r="L182" s="20">
        <v>16.8</v>
      </c>
      <c r="M182" s="20">
        <v>0.11</v>
      </c>
      <c r="N182" s="20">
        <v>0.33</v>
      </c>
      <c r="O182" s="20">
        <v>0.01</v>
      </c>
      <c r="P182" s="20">
        <v>9.17</v>
      </c>
      <c r="Q182" s="20">
        <v>0.16</v>
      </c>
      <c r="R182" s="20">
        <v>6.26</v>
      </c>
      <c r="S182" s="20">
        <v>0.05</v>
      </c>
      <c r="T182" s="20">
        <v>2.92</v>
      </c>
      <c r="U182" s="20">
        <v>0.34</v>
      </c>
      <c r="V182" s="20">
        <v>0.4</v>
      </c>
      <c r="W182" s="20">
        <v>0.06</v>
      </c>
      <c r="X182" s="20">
        <v>1.08</v>
      </c>
      <c r="Y182" s="20">
        <v>0.08</v>
      </c>
      <c r="Z182" s="20">
        <v>4.93</v>
      </c>
      <c r="AA182" s="20">
        <v>7.0000000000000007E-2</v>
      </c>
      <c r="AB182" s="20">
        <v>0.71</v>
      </c>
      <c r="AC182" s="20">
        <v>0.01</v>
      </c>
    </row>
    <row r="183" spans="1:29" x14ac:dyDescent="0.25">
      <c r="A183" s="7">
        <v>1225</v>
      </c>
      <c r="B183" s="3" t="s">
        <v>4</v>
      </c>
      <c r="C183" s="3" t="s">
        <v>250</v>
      </c>
      <c r="D183" s="20">
        <v>72.8</v>
      </c>
      <c r="E183" s="20">
        <v>0.69</v>
      </c>
      <c r="F183" s="20">
        <v>0.54</v>
      </c>
      <c r="G183" s="20">
        <v>7.0000000000000007E-2</v>
      </c>
      <c r="H183" s="20">
        <v>5.21</v>
      </c>
      <c r="I183" s="20">
        <v>0.09</v>
      </c>
      <c r="J183" s="20">
        <v>0.26</v>
      </c>
      <c r="K183" s="20">
        <v>0.03</v>
      </c>
      <c r="L183" s="20">
        <v>5.8</v>
      </c>
      <c r="M183" s="20">
        <v>0.05</v>
      </c>
      <c r="N183" s="20">
        <v>0.11</v>
      </c>
      <c r="O183" s="20">
        <v>0.01</v>
      </c>
      <c r="P183" s="20">
        <v>5.34</v>
      </c>
      <c r="Q183" s="20">
        <v>0.1</v>
      </c>
      <c r="R183" s="20">
        <v>3.02</v>
      </c>
      <c r="S183" s="20">
        <v>0.03</v>
      </c>
      <c r="T183" s="20">
        <v>1.7</v>
      </c>
      <c r="U183" s="20">
        <v>0.23</v>
      </c>
      <c r="V183" s="20">
        <v>0.27</v>
      </c>
      <c r="W183" s="20">
        <v>0.06</v>
      </c>
      <c r="X183" s="20">
        <v>0.65</v>
      </c>
      <c r="Y183" s="20">
        <v>7.0000000000000007E-2</v>
      </c>
      <c r="Z183" s="20">
        <v>3.7</v>
      </c>
      <c r="AA183" s="20">
        <v>0.06</v>
      </c>
      <c r="AB183" s="20">
        <v>0.51</v>
      </c>
      <c r="AC183" s="20">
        <v>0.01</v>
      </c>
    </row>
    <row r="184" spans="1:29" x14ac:dyDescent="0.25">
      <c r="A184" s="7">
        <v>1226</v>
      </c>
      <c r="B184" s="3" t="s">
        <v>5</v>
      </c>
      <c r="C184" s="3" t="s">
        <v>250</v>
      </c>
      <c r="D184" s="20">
        <v>72.7</v>
      </c>
      <c r="E184" s="20">
        <v>0.7</v>
      </c>
      <c r="F184" s="20">
        <v>0.6</v>
      </c>
      <c r="G184" s="20">
        <v>7.0000000000000007E-2</v>
      </c>
      <c r="H184" s="20">
        <v>5.23</v>
      </c>
      <c r="I184" s="20">
        <v>0.09</v>
      </c>
      <c r="J184" s="20">
        <v>0.25</v>
      </c>
      <c r="K184" s="20">
        <v>0.03</v>
      </c>
      <c r="L184" s="20">
        <v>6</v>
      </c>
      <c r="M184" s="20">
        <v>0.05</v>
      </c>
      <c r="N184" s="20">
        <v>0.13</v>
      </c>
      <c r="O184" s="20">
        <v>0.01</v>
      </c>
      <c r="P184" s="20">
        <v>5.27</v>
      </c>
      <c r="Q184" s="20">
        <v>0.1</v>
      </c>
      <c r="R184" s="20">
        <v>3.09</v>
      </c>
      <c r="S184" s="20">
        <v>0.03</v>
      </c>
      <c r="T184" s="20">
        <v>1.69</v>
      </c>
      <c r="U184" s="20">
        <v>0.23</v>
      </c>
      <c r="V184" s="20">
        <v>0.25</v>
      </c>
      <c r="W184" s="20">
        <v>0.06</v>
      </c>
      <c r="X184" s="20">
        <v>0.64</v>
      </c>
      <c r="Y184" s="20">
        <v>7.0000000000000007E-2</v>
      </c>
      <c r="Z184" s="20">
        <v>3.65</v>
      </c>
      <c r="AA184" s="20">
        <v>0.06</v>
      </c>
      <c r="AB184" s="20">
        <v>0.5</v>
      </c>
      <c r="AC184" s="20">
        <v>0.01</v>
      </c>
    </row>
    <row r="185" spans="1:29" x14ac:dyDescent="0.25">
      <c r="A185" s="7">
        <v>1230</v>
      </c>
      <c r="B185" s="3" t="s">
        <v>3</v>
      </c>
      <c r="C185" s="20" t="s">
        <v>251</v>
      </c>
      <c r="D185" s="20">
        <v>48.3</v>
      </c>
      <c r="E185" s="20">
        <v>0.44</v>
      </c>
      <c r="F185" s="20">
        <v>0.77</v>
      </c>
      <c r="G185" s="20">
        <v>0.06</v>
      </c>
      <c r="H185" s="20">
        <v>11.12</v>
      </c>
      <c r="I185" s="20">
        <v>0.13</v>
      </c>
      <c r="J185" s="20">
        <v>0.33</v>
      </c>
      <c r="K185" s="20">
        <v>0.03</v>
      </c>
      <c r="L185" s="20">
        <v>15</v>
      </c>
      <c r="M185" s="20">
        <v>0.1</v>
      </c>
      <c r="N185" s="20">
        <v>0.31</v>
      </c>
      <c r="O185" s="20">
        <v>0.01</v>
      </c>
      <c r="P185" s="20">
        <v>8.49</v>
      </c>
      <c r="Q185" s="20">
        <v>0.14000000000000001</v>
      </c>
      <c r="R185" s="20">
        <v>6.45</v>
      </c>
      <c r="S185" s="20">
        <v>0.05</v>
      </c>
      <c r="T185" s="20">
        <v>3.2</v>
      </c>
      <c r="U185" s="20">
        <v>0.28999999999999998</v>
      </c>
      <c r="V185" s="20">
        <v>0.44</v>
      </c>
      <c r="W185" s="20">
        <v>0.06</v>
      </c>
      <c r="X185" s="20">
        <v>0.83</v>
      </c>
      <c r="Y185" s="20">
        <v>7.0000000000000007E-2</v>
      </c>
      <c r="Z185" s="20">
        <v>4.1100000000000003</v>
      </c>
      <c r="AA185" s="20">
        <v>0.06</v>
      </c>
      <c r="AB185" s="20">
        <v>0.53</v>
      </c>
      <c r="AC185" s="20">
        <v>0.01</v>
      </c>
    </row>
    <row r="186" spans="1:29" x14ac:dyDescent="0.25">
      <c r="A186" s="7">
        <v>1235</v>
      </c>
      <c r="B186" s="3" t="s">
        <v>3</v>
      </c>
      <c r="C186" s="20" t="s">
        <v>252</v>
      </c>
      <c r="D186" s="20">
        <v>46.3</v>
      </c>
      <c r="E186" s="20">
        <v>0.56000000000000005</v>
      </c>
      <c r="F186" s="20">
        <v>0.9</v>
      </c>
      <c r="G186" s="20">
        <v>0.08</v>
      </c>
      <c r="H186" s="20">
        <v>10.3</v>
      </c>
      <c r="I186" s="20">
        <v>0.19</v>
      </c>
      <c r="J186" s="20">
        <v>0.39</v>
      </c>
      <c r="K186" s="20">
        <v>0.05</v>
      </c>
      <c r="L186" s="20">
        <v>16.899999999999999</v>
      </c>
      <c r="M186" s="20">
        <v>0.16</v>
      </c>
      <c r="N186" s="20">
        <v>0.32</v>
      </c>
      <c r="O186" s="20">
        <v>0.02</v>
      </c>
      <c r="P186" s="20">
        <v>8.86</v>
      </c>
      <c r="Q186" s="20">
        <v>0.18</v>
      </c>
      <c r="R186" s="20">
        <v>6.66</v>
      </c>
      <c r="S186" s="20">
        <v>0.08</v>
      </c>
      <c r="T186" s="20">
        <v>2.04</v>
      </c>
      <c r="U186" s="20">
        <v>0.3</v>
      </c>
      <c r="V186" s="20">
        <v>0.55000000000000004</v>
      </c>
      <c r="W186" s="20">
        <v>7.0000000000000007E-2</v>
      </c>
      <c r="X186" s="20">
        <v>1.1000000000000001</v>
      </c>
      <c r="Y186" s="20">
        <v>0.1</v>
      </c>
      <c r="Z186" s="20">
        <v>4.8499999999999996</v>
      </c>
      <c r="AA186" s="20">
        <v>0.11</v>
      </c>
      <c r="AB186" s="20">
        <v>0.65</v>
      </c>
      <c r="AC186" s="20">
        <v>0.03</v>
      </c>
    </row>
    <row r="187" spans="1:29" x14ac:dyDescent="0.25">
      <c r="A187" s="7">
        <v>1239</v>
      </c>
      <c r="B187" s="3" t="s">
        <v>8</v>
      </c>
      <c r="C187" s="20" t="s">
        <v>253</v>
      </c>
      <c r="D187" s="20">
        <v>50</v>
      </c>
      <c r="E187" s="20">
        <v>0.48</v>
      </c>
      <c r="F187" s="20">
        <v>0.47</v>
      </c>
      <c r="G187" s="20">
        <v>0.06</v>
      </c>
      <c r="H187" s="20">
        <v>5.6</v>
      </c>
      <c r="I187" s="20">
        <v>0.09</v>
      </c>
      <c r="J187" s="20">
        <v>0.54</v>
      </c>
      <c r="K187" s="20">
        <v>0.03</v>
      </c>
      <c r="L187" s="20">
        <v>16</v>
      </c>
      <c r="M187" s="20">
        <v>0.11</v>
      </c>
      <c r="N187" s="20">
        <v>0.21</v>
      </c>
      <c r="O187" s="20">
        <v>0.01</v>
      </c>
      <c r="P187" s="20">
        <v>16.46</v>
      </c>
      <c r="Q187" s="20">
        <v>0.18</v>
      </c>
      <c r="R187" s="20">
        <v>3.61</v>
      </c>
      <c r="S187" s="20">
        <v>0.04</v>
      </c>
      <c r="T187" s="20">
        <v>0.92</v>
      </c>
      <c r="U187" s="20">
        <v>0.2</v>
      </c>
      <c r="V187" s="20">
        <v>0.43</v>
      </c>
      <c r="W187" s="20">
        <v>0.06</v>
      </c>
      <c r="X187" s="20">
        <v>0.65</v>
      </c>
      <c r="Y187" s="20">
        <v>7.0000000000000007E-2</v>
      </c>
      <c r="Z187" s="20">
        <v>3.05</v>
      </c>
      <c r="AA187" s="20">
        <v>0.06</v>
      </c>
      <c r="AB187" s="20">
        <v>1.88</v>
      </c>
      <c r="AC187" s="20">
        <v>0.03</v>
      </c>
    </row>
    <row r="188" spans="1:29" x14ac:dyDescent="0.25">
      <c r="A188" s="7">
        <v>1246</v>
      </c>
      <c r="B188" s="3" t="s">
        <v>8</v>
      </c>
      <c r="C188" s="20" t="s">
        <v>254</v>
      </c>
      <c r="D188" s="20">
        <v>49.1</v>
      </c>
      <c r="E188" s="20">
        <v>0.47</v>
      </c>
      <c r="F188" s="20">
        <v>0.54</v>
      </c>
      <c r="G188" s="20">
        <v>0.06</v>
      </c>
      <c r="H188" s="20">
        <v>6.56</v>
      </c>
      <c r="I188" s="20">
        <v>0.12</v>
      </c>
      <c r="J188" s="20">
        <v>0.52</v>
      </c>
      <c r="K188" s="20">
        <v>0.03</v>
      </c>
      <c r="L188" s="20">
        <v>16.100000000000001</v>
      </c>
      <c r="M188" s="20">
        <v>0.11</v>
      </c>
      <c r="N188" s="20">
        <v>0.27</v>
      </c>
      <c r="O188" s="20">
        <v>0.01</v>
      </c>
      <c r="P188" s="20">
        <v>15.05</v>
      </c>
      <c r="Q188" s="20">
        <v>0.18</v>
      </c>
      <c r="R188" s="20">
        <v>4.03</v>
      </c>
      <c r="S188" s="20">
        <v>0.04</v>
      </c>
      <c r="T188" s="20">
        <v>1.79</v>
      </c>
      <c r="U188" s="20">
        <v>0.3</v>
      </c>
      <c r="V188" s="20">
        <v>0.41</v>
      </c>
      <c r="W188" s="20">
        <v>0.06</v>
      </c>
      <c r="X188" s="20">
        <v>0.68</v>
      </c>
      <c r="Y188" s="20">
        <v>7.0000000000000007E-2</v>
      </c>
      <c r="Z188" s="20">
        <v>3.23</v>
      </c>
      <c r="AA188" s="20">
        <v>0.05</v>
      </c>
      <c r="AB188" s="20">
        <v>1.44</v>
      </c>
      <c r="AC188" s="20">
        <v>0.02</v>
      </c>
    </row>
    <row r="189" spans="1:29" x14ac:dyDescent="0.25">
      <c r="A189" s="7">
        <v>1251</v>
      </c>
      <c r="B189" s="3" t="s">
        <v>255</v>
      </c>
      <c r="C189" s="3" t="s">
        <v>256</v>
      </c>
      <c r="D189" s="20">
        <v>63.1</v>
      </c>
      <c r="E189" s="20">
        <v>0.59</v>
      </c>
      <c r="F189" s="20">
        <v>0.62</v>
      </c>
      <c r="G189" s="20">
        <v>7.0000000000000007E-2</v>
      </c>
      <c r="H189" s="20">
        <v>2.8</v>
      </c>
      <c r="I189" s="20">
        <v>0.06</v>
      </c>
      <c r="J189" s="20">
        <v>0.25</v>
      </c>
      <c r="K189" s="20">
        <v>0.03</v>
      </c>
      <c r="L189" s="20">
        <v>13.5</v>
      </c>
      <c r="M189" s="20">
        <v>0.09</v>
      </c>
      <c r="N189" s="20">
        <v>0.08</v>
      </c>
      <c r="O189" s="20">
        <v>0.01</v>
      </c>
      <c r="P189" s="20">
        <v>12.77</v>
      </c>
      <c r="Q189" s="20">
        <v>0.14000000000000001</v>
      </c>
      <c r="R189" s="20">
        <v>1.6</v>
      </c>
      <c r="S189" s="20">
        <v>0.02</v>
      </c>
      <c r="T189" s="20">
        <v>0.45</v>
      </c>
      <c r="U189" s="20">
        <v>0.18</v>
      </c>
      <c r="V189" s="20">
        <v>0.06</v>
      </c>
      <c r="W189" s="20">
        <v>0.05</v>
      </c>
      <c r="X189" s="20">
        <v>0.45</v>
      </c>
      <c r="Y189" s="20">
        <v>7.0000000000000007E-2</v>
      </c>
      <c r="Z189" s="20">
        <v>3.62</v>
      </c>
      <c r="AA189" s="20">
        <v>0.06</v>
      </c>
      <c r="AB189" s="20">
        <v>0.52</v>
      </c>
      <c r="AC189" s="20">
        <v>0.01</v>
      </c>
    </row>
    <row r="190" spans="1:29" x14ac:dyDescent="0.25">
      <c r="A190" s="7">
        <v>1252</v>
      </c>
      <c r="B190" s="3" t="s">
        <v>255</v>
      </c>
      <c r="C190" s="3" t="s">
        <v>257</v>
      </c>
      <c r="D190" s="20">
        <v>61.8</v>
      </c>
      <c r="E190" s="20">
        <v>0.56000000000000005</v>
      </c>
      <c r="F190" s="20">
        <v>0.55000000000000004</v>
      </c>
      <c r="G190" s="20">
        <v>0.06</v>
      </c>
      <c r="H190" s="20">
        <v>2.68</v>
      </c>
      <c r="I190" s="20">
        <v>0.06</v>
      </c>
      <c r="J190" s="20">
        <v>0.23</v>
      </c>
      <c r="K190" s="20">
        <v>0.03</v>
      </c>
      <c r="L190" s="20">
        <v>13.4</v>
      </c>
      <c r="M190" s="20">
        <v>0.09</v>
      </c>
      <c r="N190" s="20">
        <v>0.08</v>
      </c>
      <c r="O190" s="20">
        <v>0.01</v>
      </c>
      <c r="P190" s="20">
        <v>14.06</v>
      </c>
      <c r="Q190" s="20">
        <v>0.15</v>
      </c>
      <c r="R190" s="20">
        <v>1.56</v>
      </c>
      <c r="S190" s="20">
        <v>0.02</v>
      </c>
      <c r="T190" s="20">
        <v>0.43</v>
      </c>
      <c r="U190" s="20">
        <v>0.18</v>
      </c>
      <c r="V190" s="20">
        <v>0.05</v>
      </c>
      <c r="W190" s="20">
        <v>0.05</v>
      </c>
      <c r="X190" s="20">
        <v>0.46</v>
      </c>
      <c r="Y190" s="20">
        <v>7.0000000000000007E-2</v>
      </c>
      <c r="Z190" s="20">
        <v>4</v>
      </c>
      <c r="AA190" s="20">
        <v>0.06</v>
      </c>
      <c r="AB190" s="20">
        <v>0.52</v>
      </c>
      <c r="AC190" s="20">
        <v>0.01</v>
      </c>
    </row>
    <row r="191" spans="1:29" x14ac:dyDescent="0.25">
      <c r="A191" s="7">
        <v>1288</v>
      </c>
      <c r="B191" s="3" t="s">
        <v>4</v>
      </c>
      <c r="C191" s="3" t="s">
        <v>258</v>
      </c>
      <c r="D191" s="20">
        <v>69.2</v>
      </c>
      <c r="E191" s="20">
        <v>0.73</v>
      </c>
      <c r="F191" s="20">
        <v>0.78</v>
      </c>
      <c r="G191" s="20">
        <v>0.08</v>
      </c>
      <c r="H191" s="20">
        <v>5.16</v>
      </c>
      <c r="I191" s="20">
        <v>0.19</v>
      </c>
      <c r="J191" s="20">
        <v>0.24</v>
      </c>
      <c r="K191" s="20">
        <v>0.03</v>
      </c>
      <c r="L191" s="20">
        <v>8.5</v>
      </c>
      <c r="M191" s="20">
        <v>0.09</v>
      </c>
      <c r="N191" s="20">
        <v>0.11</v>
      </c>
      <c r="O191" s="20">
        <v>0.01</v>
      </c>
      <c r="P191" s="20">
        <v>6.54</v>
      </c>
      <c r="Q191" s="20">
        <v>0.17</v>
      </c>
      <c r="R191" s="20">
        <v>3.14</v>
      </c>
      <c r="S191" s="20">
        <v>0.05</v>
      </c>
      <c r="T191" s="20">
        <v>1.57</v>
      </c>
      <c r="U191" s="20">
        <v>0.34</v>
      </c>
      <c r="V191" s="20">
        <v>0.24</v>
      </c>
      <c r="W191" s="20">
        <v>0.06</v>
      </c>
      <c r="X191" s="20">
        <v>0.53</v>
      </c>
      <c r="Y191" s="20">
        <v>0.09</v>
      </c>
      <c r="Z191" s="20">
        <v>3.45</v>
      </c>
      <c r="AA191" s="20">
        <v>0.08</v>
      </c>
      <c r="AB191" s="20">
        <v>0.46</v>
      </c>
      <c r="AC191" s="20">
        <v>0.02</v>
      </c>
    </row>
    <row r="192" spans="1:29" x14ac:dyDescent="0.25">
      <c r="A192" s="7">
        <v>1325</v>
      </c>
      <c r="B192" s="3" t="s">
        <v>4</v>
      </c>
      <c r="C192" s="3" t="s">
        <v>259</v>
      </c>
      <c r="D192" s="20">
        <v>45.2</v>
      </c>
      <c r="E192" s="20">
        <v>0.31</v>
      </c>
      <c r="F192" s="20">
        <v>1.06</v>
      </c>
      <c r="G192" s="20">
        <v>7.0000000000000007E-2</v>
      </c>
      <c r="H192" s="20">
        <v>9.31</v>
      </c>
      <c r="I192" s="20">
        <v>0.09</v>
      </c>
      <c r="J192" s="20">
        <v>0.32</v>
      </c>
      <c r="K192" s="20">
        <v>0.03</v>
      </c>
      <c r="L192" s="20">
        <v>16.3</v>
      </c>
      <c r="M192" s="20">
        <v>0.06</v>
      </c>
      <c r="N192" s="20">
        <v>0.34</v>
      </c>
      <c r="O192" s="20">
        <v>0.01</v>
      </c>
      <c r="P192" s="20">
        <v>8.94</v>
      </c>
      <c r="Q192" s="20">
        <v>0.1</v>
      </c>
      <c r="R192" s="20">
        <v>6.44</v>
      </c>
      <c r="S192" s="20">
        <v>0.04</v>
      </c>
      <c r="T192" s="20">
        <v>3.07</v>
      </c>
      <c r="U192" s="20">
        <v>0.21</v>
      </c>
      <c r="V192" s="20">
        <v>0.46</v>
      </c>
      <c r="W192" s="20">
        <v>0.06</v>
      </c>
      <c r="X192" s="20">
        <v>1.1299999999999999</v>
      </c>
      <c r="Y192" s="20">
        <v>7.0000000000000007E-2</v>
      </c>
      <c r="Z192" s="20">
        <v>5.64</v>
      </c>
      <c r="AA192" s="20">
        <v>7.0000000000000007E-2</v>
      </c>
      <c r="AB192" s="20">
        <v>1.64</v>
      </c>
      <c r="AC192" s="20">
        <v>0.02</v>
      </c>
    </row>
    <row r="193" spans="1:29" x14ac:dyDescent="0.25">
      <c r="A193" s="7">
        <v>1326</v>
      </c>
      <c r="B193" s="3" t="s">
        <v>5</v>
      </c>
      <c r="C193" s="3" t="s">
        <v>259</v>
      </c>
      <c r="D193" s="20">
        <v>45.2</v>
      </c>
      <c r="E193" s="20">
        <v>0.28999999999999998</v>
      </c>
      <c r="F193" s="20">
        <v>1.04</v>
      </c>
      <c r="G193" s="20">
        <v>7.0000000000000007E-2</v>
      </c>
      <c r="H193" s="20">
        <v>9.3699999999999992</v>
      </c>
      <c r="I193" s="20">
        <v>0.1</v>
      </c>
      <c r="J193" s="20">
        <v>0.32</v>
      </c>
      <c r="K193" s="20">
        <v>0.03</v>
      </c>
      <c r="L193" s="20">
        <v>16.3</v>
      </c>
      <c r="M193" s="20">
        <v>7.0000000000000007E-2</v>
      </c>
      <c r="N193" s="20">
        <v>0.33</v>
      </c>
      <c r="O193" s="20">
        <v>0.01</v>
      </c>
      <c r="P193" s="20">
        <v>9.23</v>
      </c>
      <c r="Q193" s="20">
        <v>0.1</v>
      </c>
      <c r="R193" s="20">
        <v>6.41</v>
      </c>
      <c r="S193" s="20">
        <v>0.04</v>
      </c>
      <c r="T193" s="20">
        <v>3.28</v>
      </c>
      <c r="U193" s="20">
        <v>0.19</v>
      </c>
      <c r="V193" s="20">
        <v>0.44</v>
      </c>
      <c r="W193" s="20">
        <v>0.06</v>
      </c>
      <c r="X193" s="20">
        <v>1.1499999999999999</v>
      </c>
      <c r="Y193" s="20">
        <v>7.0000000000000007E-2</v>
      </c>
      <c r="Z193" s="20">
        <v>5.07</v>
      </c>
      <c r="AA193" s="20">
        <v>0.06</v>
      </c>
      <c r="AB193" s="20">
        <v>1.78</v>
      </c>
      <c r="AC193" s="20">
        <v>0.02</v>
      </c>
    </row>
    <row r="194" spans="1:29" x14ac:dyDescent="0.25">
      <c r="A194" s="7">
        <v>1340</v>
      </c>
      <c r="B194" s="3" t="s">
        <v>4</v>
      </c>
      <c r="C194" s="3" t="s">
        <v>260</v>
      </c>
      <c r="D194" s="20">
        <v>46.6</v>
      </c>
      <c r="E194" s="20">
        <v>0.43</v>
      </c>
      <c r="F194" s="20">
        <v>0.84</v>
      </c>
      <c r="G194" s="20">
        <v>0.06</v>
      </c>
      <c r="H194" s="20">
        <v>10.11</v>
      </c>
      <c r="I194" s="20">
        <v>0.12</v>
      </c>
      <c r="J194" s="20">
        <v>0.41</v>
      </c>
      <c r="K194" s="20">
        <v>0.03</v>
      </c>
      <c r="L194" s="20">
        <v>16.7</v>
      </c>
      <c r="M194" s="20">
        <v>0.1</v>
      </c>
      <c r="N194" s="20">
        <v>0.39</v>
      </c>
      <c r="O194" s="20">
        <v>0.01</v>
      </c>
      <c r="P194" s="20">
        <v>9.18</v>
      </c>
      <c r="Q194" s="20">
        <v>0.13</v>
      </c>
      <c r="R194" s="20">
        <v>6.39</v>
      </c>
      <c r="S194" s="20">
        <v>0.05</v>
      </c>
      <c r="T194" s="20">
        <v>4.25</v>
      </c>
      <c r="U194" s="20">
        <v>0.28000000000000003</v>
      </c>
      <c r="V194" s="20">
        <v>1.21</v>
      </c>
      <c r="W194" s="20">
        <v>0.06</v>
      </c>
      <c r="X194" s="20">
        <v>1.1200000000000001</v>
      </c>
      <c r="Y194" s="20">
        <v>7.0000000000000007E-2</v>
      </c>
      <c r="Z194" s="20">
        <v>2.13</v>
      </c>
      <c r="AA194" s="20">
        <v>0.04</v>
      </c>
      <c r="AB194" s="20">
        <v>0.55000000000000004</v>
      </c>
      <c r="AC194" s="20">
        <v>0.01</v>
      </c>
    </row>
    <row r="195" spans="1:29" x14ac:dyDescent="0.25">
      <c r="A195" s="7">
        <v>1341</v>
      </c>
      <c r="B195" s="3" t="s">
        <v>5</v>
      </c>
      <c r="C195" s="3" t="s">
        <v>260</v>
      </c>
      <c r="D195" s="20">
        <v>46.5</v>
      </c>
      <c r="E195" s="20">
        <v>0.42</v>
      </c>
      <c r="F195" s="20">
        <v>0.83</v>
      </c>
      <c r="G195" s="20">
        <v>0.06</v>
      </c>
      <c r="H195" s="20">
        <v>10.16</v>
      </c>
      <c r="I195" s="20">
        <v>0.12</v>
      </c>
      <c r="J195" s="20">
        <v>0.4</v>
      </c>
      <c r="K195" s="20">
        <v>0.03</v>
      </c>
      <c r="L195" s="20">
        <v>16.7</v>
      </c>
      <c r="M195" s="20">
        <v>0.1</v>
      </c>
      <c r="N195" s="20">
        <v>0.38</v>
      </c>
      <c r="O195" s="20">
        <v>0.01</v>
      </c>
      <c r="P195" s="20">
        <v>9.27</v>
      </c>
      <c r="Q195" s="20">
        <v>0.13</v>
      </c>
      <c r="R195" s="20">
        <v>6.37</v>
      </c>
      <c r="S195" s="20">
        <v>0.04</v>
      </c>
      <c r="T195" s="20">
        <v>4.2699999999999996</v>
      </c>
      <c r="U195" s="20">
        <v>0.28000000000000003</v>
      </c>
      <c r="V195" s="20">
        <v>1.22</v>
      </c>
      <c r="W195" s="20">
        <v>0.06</v>
      </c>
      <c r="X195" s="20">
        <v>1.0900000000000001</v>
      </c>
      <c r="Y195" s="20">
        <v>7.0000000000000007E-2</v>
      </c>
      <c r="Z195" s="20">
        <v>2.12</v>
      </c>
      <c r="AA195" s="20">
        <v>0.03</v>
      </c>
      <c r="AB195" s="20">
        <v>0.54</v>
      </c>
      <c r="AC195" s="20">
        <v>0.01</v>
      </c>
    </row>
    <row r="196" spans="1:29" x14ac:dyDescent="0.25">
      <c r="A196" s="7">
        <v>1357</v>
      </c>
      <c r="B196" s="3" t="s">
        <v>261</v>
      </c>
      <c r="C196" s="3" t="s">
        <v>262</v>
      </c>
      <c r="D196" s="29">
        <v>40.9</v>
      </c>
      <c r="E196" s="29">
        <v>0.3</v>
      </c>
      <c r="F196" s="29">
        <v>2.97</v>
      </c>
      <c r="G196" s="29">
        <v>0.08</v>
      </c>
      <c r="H196" s="29">
        <v>8.6</v>
      </c>
      <c r="I196" s="29">
        <v>0.4</v>
      </c>
      <c r="J196" s="29">
        <v>0.79</v>
      </c>
      <c r="K196" s="29">
        <v>0.03</v>
      </c>
      <c r="L196" s="29">
        <v>22.3</v>
      </c>
      <c r="M196" s="29">
        <v>0.1</v>
      </c>
      <c r="N196" s="29">
        <v>0.26</v>
      </c>
      <c r="O196" s="29">
        <v>0.01</v>
      </c>
      <c r="P196" s="29">
        <v>7.9</v>
      </c>
      <c r="Q196" s="29">
        <v>0.1</v>
      </c>
      <c r="R196" s="29">
        <v>4.5</v>
      </c>
      <c r="S196" s="29">
        <v>0</v>
      </c>
      <c r="T196" s="29">
        <v>2.8</v>
      </c>
      <c r="U196" s="29">
        <v>0.2</v>
      </c>
      <c r="V196" s="29">
        <v>0.38</v>
      </c>
      <c r="W196" s="29">
        <v>0.06</v>
      </c>
      <c r="X196" s="29">
        <v>0.91</v>
      </c>
      <c r="Y196" s="29">
        <v>7.0000000000000007E-2</v>
      </c>
      <c r="Z196" s="29">
        <v>6.8</v>
      </c>
      <c r="AA196" s="29">
        <v>0.1</v>
      </c>
      <c r="AB196" s="29">
        <v>0.8</v>
      </c>
      <c r="AC196" s="29">
        <v>0</v>
      </c>
    </row>
    <row r="197" spans="1:29" x14ac:dyDescent="0.25">
      <c r="A197" s="7">
        <v>1360</v>
      </c>
      <c r="B197" s="3" t="s">
        <v>8</v>
      </c>
      <c r="C197" s="20" t="s">
        <v>263</v>
      </c>
      <c r="D197" s="20">
        <v>46.6</v>
      </c>
      <c r="E197" s="20">
        <v>0.51</v>
      </c>
      <c r="F197" s="20">
        <v>0.87</v>
      </c>
      <c r="G197" s="20">
        <v>0.08</v>
      </c>
      <c r="H197" s="20">
        <v>10.43</v>
      </c>
      <c r="I197" s="20">
        <v>0.17</v>
      </c>
      <c r="J197" s="20">
        <v>0.44</v>
      </c>
      <c r="K197" s="20">
        <v>0.04</v>
      </c>
      <c r="L197" s="20">
        <v>16.8</v>
      </c>
      <c r="M197" s="20">
        <v>0.14000000000000001</v>
      </c>
      <c r="N197" s="20">
        <v>0.37</v>
      </c>
      <c r="O197" s="20">
        <v>0.02</v>
      </c>
      <c r="P197" s="20">
        <v>8.92</v>
      </c>
      <c r="Q197" s="20">
        <v>0.16</v>
      </c>
      <c r="R197" s="20">
        <v>6.28</v>
      </c>
      <c r="S197" s="20">
        <v>7.0000000000000007E-2</v>
      </c>
      <c r="T197" s="20">
        <v>3.14</v>
      </c>
      <c r="U197" s="20">
        <v>0.28999999999999998</v>
      </c>
      <c r="V197" s="20">
        <v>0.37</v>
      </c>
      <c r="W197" s="20">
        <v>0.06</v>
      </c>
      <c r="X197" s="20">
        <v>0.79</v>
      </c>
      <c r="Y197" s="20">
        <v>0.09</v>
      </c>
      <c r="Z197" s="20">
        <v>4.3899999999999997</v>
      </c>
      <c r="AA197" s="20">
        <v>0.09</v>
      </c>
      <c r="AB197" s="20">
        <v>0.5</v>
      </c>
      <c r="AC197" s="20">
        <v>0.02</v>
      </c>
    </row>
    <row r="198" spans="1:29" x14ac:dyDescent="0.25">
      <c r="A198" s="7">
        <v>1368</v>
      </c>
      <c r="B198" s="3" t="s">
        <v>5</v>
      </c>
      <c r="C198" s="3" t="s">
        <v>264</v>
      </c>
      <c r="D198" s="20">
        <v>46.4</v>
      </c>
      <c r="E198" s="20">
        <v>0.46</v>
      </c>
      <c r="F198" s="20">
        <v>0.97</v>
      </c>
      <c r="G198" s="20">
        <v>7.0000000000000007E-2</v>
      </c>
      <c r="H198" s="20">
        <v>9.15</v>
      </c>
      <c r="I198" s="20">
        <v>0.15</v>
      </c>
      <c r="J198" s="20">
        <v>0.34</v>
      </c>
      <c r="K198" s="20">
        <v>0.03</v>
      </c>
      <c r="L198" s="20">
        <v>16.7</v>
      </c>
      <c r="M198" s="20">
        <v>0.12</v>
      </c>
      <c r="N198" s="20">
        <v>0.32</v>
      </c>
      <c r="O198" s="20">
        <v>0.01</v>
      </c>
      <c r="P198" s="20">
        <v>9.69</v>
      </c>
      <c r="Q198" s="20">
        <v>0.19</v>
      </c>
      <c r="R198" s="20">
        <v>6.42</v>
      </c>
      <c r="S198" s="20">
        <v>0.06</v>
      </c>
      <c r="T198" s="20">
        <v>2.74</v>
      </c>
      <c r="U198" s="20">
        <v>0.37</v>
      </c>
      <c r="V198" s="20">
        <v>0.26</v>
      </c>
      <c r="W198" s="20">
        <v>0.06</v>
      </c>
      <c r="X198" s="20">
        <v>1.1100000000000001</v>
      </c>
      <c r="Y198" s="20">
        <v>0.08</v>
      </c>
      <c r="Z198" s="20">
        <v>4.3600000000000003</v>
      </c>
      <c r="AA198" s="20">
        <v>7.0000000000000007E-2</v>
      </c>
      <c r="AB198" s="20">
        <v>1.42</v>
      </c>
      <c r="AC198" s="20">
        <v>0.02</v>
      </c>
    </row>
    <row r="199" spans="1:29" x14ac:dyDescent="0.25">
      <c r="A199" s="7">
        <v>1410</v>
      </c>
      <c r="B199" s="3" t="s">
        <v>4</v>
      </c>
      <c r="C199" s="3" t="s">
        <v>265</v>
      </c>
      <c r="D199" s="20">
        <v>44.8</v>
      </c>
      <c r="E199" s="20">
        <v>0.51</v>
      </c>
      <c r="F199" s="20">
        <v>0.87</v>
      </c>
      <c r="G199" s="20">
        <v>0.08</v>
      </c>
      <c r="H199" s="20">
        <v>9.4499999999999993</v>
      </c>
      <c r="I199" s="20">
        <v>0.16</v>
      </c>
      <c r="J199" s="20">
        <v>0.28000000000000003</v>
      </c>
      <c r="K199" s="20">
        <v>0.04</v>
      </c>
      <c r="L199" s="20">
        <v>16.5</v>
      </c>
      <c r="M199" s="20">
        <v>0.14000000000000001</v>
      </c>
      <c r="N199" s="20">
        <v>0.33</v>
      </c>
      <c r="O199" s="20">
        <v>0.02</v>
      </c>
      <c r="P199" s="20">
        <v>8.61</v>
      </c>
      <c r="Q199" s="20">
        <v>0.15</v>
      </c>
      <c r="R199" s="20">
        <v>6.1</v>
      </c>
      <c r="S199" s="20">
        <v>7.0000000000000007E-2</v>
      </c>
      <c r="T199" s="20">
        <v>3.27</v>
      </c>
      <c r="U199" s="20">
        <v>0.27</v>
      </c>
      <c r="V199" s="20">
        <v>0.45</v>
      </c>
      <c r="W199" s="20">
        <v>0.06</v>
      </c>
      <c r="X199" s="20">
        <v>0.99</v>
      </c>
      <c r="Y199" s="20">
        <v>0.09</v>
      </c>
      <c r="Z199" s="20">
        <v>7.26</v>
      </c>
      <c r="AA199" s="20">
        <v>0.12</v>
      </c>
      <c r="AB199" s="20">
        <v>0.9</v>
      </c>
      <c r="AC199" s="20">
        <v>0.03</v>
      </c>
    </row>
    <row r="200" spans="1:29" x14ac:dyDescent="0.25">
      <c r="A200" s="7">
        <v>1432</v>
      </c>
      <c r="B200" s="3" t="s">
        <v>5</v>
      </c>
      <c r="C200" s="3" t="s">
        <v>266</v>
      </c>
      <c r="D200" s="20">
        <v>45.1</v>
      </c>
      <c r="E200" s="20">
        <v>0.48</v>
      </c>
      <c r="F200" s="20">
        <v>0.97</v>
      </c>
      <c r="G200" s="20">
        <v>0.09</v>
      </c>
      <c r="H200" s="20">
        <v>9.18</v>
      </c>
      <c r="I200" s="20">
        <v>0.14000000000000001</v>
      </c>
      <c r="J200" s="20">
        <v>0.36</v>
      </c>
      <c r="K200" s="20">
        <v>0.04</v>
      </c>
      <c r="L200" s="20">
        <v>16.3</v>
      </c>
      <c r="M200" s="20">
        <v>0.13</v>
      </c>
      <c r="N200" s="20">
        <v>0.32</v>
      </c>
      <c r="O200" s="20">
        <v>0.01</v>
      </c>
      <c r="P200" s="20">
        <v>9.24</v>
      </c>
      <c r="Q200" s="20">
        <v>0.14000000000000001</v>
      </c>
      <c r="R200" s="20">
        <v>6.54</v>
      </c>
      <c r="S200" s="20">
        <v>0.06</v>
      </c>
      <c r="T200" s="20">
        <v>2.95</v>
      </c>
      <c r="U200" s="20">
        <v>0.27</v>
      </c>
      <c r="V200" s="20">
        <v>0.35</v>
      </c>
      <c r="W200" s="20">
        <v>0.06</v>
      </c>
      <c r="X200" s="20">
        <v>1.1299999999999999</v>
      </c>
      <c r="Y200" s="20">
        <v>0.08</v>
      </c>
      <c r="Z200" s="20">
        <v>5.99</v>
      </c>
      <c r="AA200" s="20">
        <v>0.09</v>
      </c>
      <c r="AB200" s="20">
        <v>1.45</v>
      </c>
      <c r="AC200" s="20">
        <v>0.03</v>
      </c>
    </row>
    <row r="201" spans="1:29" x14ac:dyDescent="0.25">
      <c r="A201" s="7">
        <v>1434</v>
      </c>
      <c r="B201" s="3" t="s">
        <v>5</v>
      </c>
      <c r="C201" s="3" t="s">
        <v>267</v>
      </c>
      <c r="D201" s="20">
        <v>45.1</v>
      </c>
      <c r="E201" s="20">
        <v>0.47</v>
      </c>
      <c r="F201" s="20">
        <v>1.02</v>
      </c>
      <c r="G201" s="20">
        <v>7.0000000000000007E-2</v>
      </c>
      <c r="H201" s="20">
        <v>9.11</v>
      </c>
      <c r="I201" s="20">
        <v>0.14000000000000001</v>
      </c>
      <c r="J201" s="20">
        <v>0.39</v>
      </c>
      <c r="K201" s="20">
        <v>0.04</v>
      </c>
      <c r="L201" s="20">
        <v>16.3</v>
      </c>
      <c r="M201" s="20">
        <v>0.13</v>
      </c>
      <c r="N201" s="20">
        <v>0.33</v>
      </c>
      <c r="O201" s="20">
        <v>0.01</v>
      </c>
      <c r="P201" s="20">
        <v>9.5</v>
      </c>
      <c r="Q201" s="20">
        <v>0.14000000000000001</v>
      </c>
      <c r="R201" s="20">
        <v>6.51</v>
      </c>
      <c r="S201" s="20">
        <v>0.06</v>
      </c>
      <c r="T201" s="20">
        <v>2.99</v>
      </c>
      <c r="U201" s="20">
        <v>0.25</v>
      </c>
      <c r="V201" s="20">
        <v>0.33</v>
      </c>
      <c r="W201" s="20">
        <v>0.06</v>
      </c>
      <c r="X201" s="20">
        <v>1.1599999999999999</v>
      </c>
      <c r="Y201" s="20">
        <v>0.08</v>
      </c>
      <c r="Z201" s="20">
        <v>5.48</v>
      </c>
      <c r="AA201" s="20">
        <v>0.09</v>
      </c>
      <c r="AB201" s="20">
        <v>1.62</v>
      </c>
      <c r="AC201" s="20">
        <v>0.03</v>
      </c>
    </row>
    <row r="202" spans="1:29" x14ac:dyDescent="0.25">
      <c r="A202" s="7">
        <v>1453</v>
      </c>
      <c r="B202" s="3" t="s">
        <v>5</v>
      </c>
      <c r="C202" s="3" t="s">
        <v>268</v>
      </c>
      <c r="D202" s="20">
        <v>45.8</v>
      </c>
      <c r="E202" s="20">
        <v>0.47</v>
      </c>
      <c r="F202" s="20">
        <v>1.04</v>
      </c>
      <c r="G202" s="20">
        <v>7.0000000000000007E-2</v>
      </c>
      <c r="H202" s="20">
        <v>9.14</v>
      </c>
      <c r="I202" s="20">
        <v>0.14000000000000001</v>
      </c>
      <c r="J202" s="20">
        <v>0.38</v>
      </c>
      <c r="K202" s="20">
        <v>0.03</v>
      </c>
      <c r="L202" s="20">
        <v>16.5</v>
      </c>
      <c r="M202" s="20">
        <v>0.12</v>
      </c>
      <c r="N202" s="20">
        <v>0.32</v>
      </c>
      <c r="O202" s="20">
        <v>0.01</v>
      </c>
      <c r="P202" s="20">
        <v>10.24</v>
      </c>
      <c r="Q202" s="20">
        <v>0.16</v>
      </c>
      <c r="R202" s="20">
        <v>6.33</v>
      </c>
      <c r="S202" s="20">
        <v>0.06</v>
      </c>
      <c r="T202" s="20">
        <v>3.09</v>
      </c>
      <c r="U202" s="20">
        <v>0.31</v>
      </c>
      <c r="V202" s="20">
        <v>0.28999999999999998</v>
      </c>
      <c r="W202" s="20">
        <v>0.06</v>
      </c>
      <c r="X202" s="20">
        <v>1.2</v>
      </c>
      <c r="Y202" s="20">
        <v>0.08</v>
      </c>
      <c r="Z202" s="20">
        <v>3.92</v>
      </c>
      <c r="AA202" s="20">
        <v>7.0000000000000007E-2</v>
      </c>
      <c r="AB202" s="20">
        <v>1.63</v>
      </c>
      <c r="AC202" s="20">
        <v>0.03</v>
      </c>
    </row>
    <row r="203" spans="1:29" x14ac:dyDescent="0.25">
      <c r="A203" s="7">
        <v>1489</v>
      </c>
      <c r="B203" s="3" t="s">
        <v>5</v>
      </c>
      <c r="C203" s="3" t="s">
        <v>269</v>
      </c>
      <c r="D203" s="20">
        <v>45.7</v>
      </c>
      <c r="E203" s="20">
        <v>0.47</v>
      </c>
      <c r="F203" s="20">
        <v>1.1000000000000001</v>
      </c>
      <c r="G203" s="20">
        <v>0.08</v>
      </c>
      <c r="H203" s="20">
        <v>9.3800000000000008</v>
      </c>
      <c r="I203" s="20">
        <v>0.14000000000000001</v>
      </c>
      <c r="J203" s="20">
        <v>0.34</v>
      </c>
      <c r="K203" s="20">
        <v>0.04</v>
      </c>
      <c r="L203" s="20">
        <v>15.7</v>
      </c>
      <c r="M203" s="20">
        <v>0.12</v>
      </c>
      <c r="N203" s="20">
        <v>0.33</v>
      </c>
      <c r="O203" s="20">
        <v>0.01</v>
      </c>
      <c r="P203" s="20">
        <v>8.84</v>
      </c>
      <c r="Q203" s="20">
        <v>0.13</v>
      </c>
      <c r="R203" s="20">
        <v>6.79</v>
      </c>
      <c r="S203" s="20">
        <v>0.06</v>
      </c>
      <c r="T203" s="20">
        <v>3.05</v>
      </c>
      <c r="U203" s="20">
        <v>0.24</v>
      </c>
      <c r="V203" s="20">
        <v>0.38</v>
      </c>
      <c r="W203" s="20">
        <v>0.06</v>
      </c>
      <c r="X203" s="20">
        <v>1.32</v>
      </c>
      <c r="Y203" s="20">
        <v>0.09</v>
      </c>
      <c r="Z203" s="20">
        <v>5.68</v>
      </c>
      <c r="AA203" s="20">
        <v>0.09</v>
      </c>
      <c r="AB203" s="20">
        <v>1.34</v>
      </c>
      <c r="AC203" s="20">
        <v>0.03</v>
      </c>
    </row>
    <row r="204" spans="1:29" x14ac:dyDescent="0.25">
      <c r="A204" s="7">
        <v>1491</v>
      </c>
      <c r="B204" s="3" t="s">
        <v>5</v>
      </c>
      <c r="C204" s="3" t="s">
        <v>270</v>
      </c>
      <c r="D204" s="20">
        <v>45.7</v>
      </c>
      <c r="E204" s="20">
        <v>0.5</v>
      </c>
      <c r="F204" s="20">
        <v>1.06</v>
      </c>
      <c r="G204" s="20">
        <v>0.08</v>
      </c>
      <c r="H204" s="20">
        <v>9.4</v>
      </c>
      <c r="I204" s="20">
        <v>0.15</v>
      </c>
      <c r="J204" s="20">
        <v>0.32</v>
      </c>
      <c r="K204" s="20">
        <v>0.04</v>
      </c>
      <c r="L204" s="20">
        <v>15.7</v>
      </c>
      <c r="M204" s="20">
        <v>0.13</v>
      </c>
      <c r="N204" s="20">
        <v>0.32</v>
      </c>
      <c r="O204" s="20">
        <v>0.01</v>
      </c>
      <c r="P204" s="20">
        <v>8.77</v>
      </c>
      <c r="Q204" s="20">
        <v>0.16</v>
      </c>
      <c r="R204" s="20">
        <v>6.77</v>
      </c>
      <c r="S204" s="20">
        <v>0.06</v>
      </c>
      <c r="T204" s="20">
        <v>3</v>
      </c>
      <c r="U204" s="20">
        <v>0.31</v>
      </c>
      <c r="V204" s="20">
        <v>0.39</v>
      </c>
      <c r="W204" s="20">
        <v>0.06</v>
      </c>
      <c r="X204" s="20">
        <v>1.35</v>
      </c>
      <c r="Y204" s="20">
        <v>0.09</v>
      </c>
      <c r="Z204" s="20">
        <v>5.74</v>
      </c>
      <c r="AA204" s="20">
        <v>0.1</v>
      </c>
      <c r="AB204" s="20">
        <v>1.36</v>
      </c>
      <c r="AC204" s="20">
        <v>0.03</v>
      </c>
    </row>
    <row r="205" spans="1:29" x14ac:dyDescent="0.25">
      <c r="A205" s="7">
        <v>1512</v>
      </c>
      <c r="B205" s="3" t="s">
        <v>3</v>
      </c>
      <c r="C205" s="20" t="s">
        <v>271</v>
      </c>
      <c r="D205" s="20">
        <v>44.8</v>
      </c>
      <c r="E205" s="20">
        <v>0.45</v>
      </c>
      <c r="F205" s="20">
        <v>0.88</v>
      </c>
      <c r="G205" s="20">
        <v>7.0000000000000007E-2</v>
      </c>
      <c r="H205" s="20">
        <v>9.6</v>
      </c>
      <c r="I205" s="20">
        <v>0.14000000000000001</v>
      </c>
      <c r="J205" s="20">
        <v>0.28999999999999998</v>
      </c>
      <c r="K205" s="20">
        <v>0.04</v>
      </c>
      <c r="L205" s="20">
        <v>16</v>
      </c>
      <c r="M205" s="20">
        <v>0.11</v>
      </c>
      <c r="N205" s="20">
        <v>0.31</v>
      </c>
      <c r="O205" s="20">
        <v>0.01</v>
      </c>
      <c r="P205" s="20">
        <v>8.49</v>
      </c>
      <c r="Q205" s="20">
        <v>0.15</v>
      </c>
      <c r="R205" s="20">
        <v>6.12</v>
      </c>
      <c r="S205" s="20">
        <v>0.06</v>
      </c>
      <c r="T205" s="20">
        <v>3.54</v>
      </c>
      <c r="U205" s="20">
        <v>0.32</v>
      </c>
      <c r="V205" s="20">
        <v>0.46</v>
      </c>
      <c r="W205" s="20">
        <v>0.06</v>
      </c>
      <c r="X205" s="20">
        <v>0.98</v>
      </c>
      <c r="Y205" s="20">
        <v>0.08</v>
      </c>
      <c r="Z205" s="20">
        <v>7.47</v>
      </c>
      <c r="AA205" s="20">
        <v>0.11</v>
      </c>
      <c r="AB205" s="20">
        <v>0.86</v>
      </c>
      <c r="AC205" s="20">
        <v>0.02</v>
      </c>
    </row>
    <row r="206" spans="1:29" x14ac:dyDescent="0.25">
      <c r="A206" s="7">
        <v>1796</v>
      </c>
      <c r="B206" s="3" t="s">
        <v>3</v>
      </c>
      <c r="C206" s="20" t="s">
        <v>272</v>
      </c>
      <c r="D206" s="20">
        <v>71.900000000000006</v>
      </c>
      <c r="E206" s="20">
        <v>0.76</v>
      </c>
      <c r="F206" s="20">
        <v>0.73</v>
      </c>
      <c r="G206" s="20">
        <v>0.09</v>
      </c>
      <c r="H206" s="20">
        <v>5.64</v>
      </c>
      <c r="I206" s="20">
        <v>0.15</v>
      </c>
      <c r="J206" s="20">
        <v>0.5</v>
      </c>
      <c r="K206" s="20">
        <v>0.04</v>
      </c>
      <c r="L206" s="20">
        <v>5.8</v>
      </c>
      <c r="M206" s="20">
        <v>7.0000000000000007E-2</v>
      </c>
      <c r="N206" s="20">
        <v>0.13</v>
      </c>
      <c r="O206" s="20">
        <v>0.01</v>
      </c>
      <c r="P206" s="20">
        <v>5.34</v>
      </c>
      <c r="Q206" s="20">
        <v>0.18</v>
      </c>
      <c r="R206" s="20">
        <v>3.06</v>
      </c>
      <c r="S206" s="20">
        <v>0.05</v>
      </c>
      <c r="T206" s="20">
        <v>1.72</v>
      </c>
      <c r="U206" s="20">
        <v>0.37</v>
      </c>
      <c r="V206" s="20">
        <v>0.24</v>
      </c>
      <c r="W206" s="20">
        <v>0.06</v>
      </c>
      <c r="X206" s="20">
        <v>0.54</v>
      </c>
      <c r="Y206" s="20">
        <v>0.09</v>
      </c>
      <c r="Z206" s="20">
        <v>3.83</v>
      </c>
      <c r="AA206" s="20">
        <v>0.09</v>
      </c>
      <c r="AB206" s="20">
        <v>0.5</v>
      </c>
      <c r="AC206" s="20">
        <v>0.02</v>
      </c>
    </row>
    <row r="207" spans="1:29" x14ac:dyDescent="0.25">
      <c r="A207" s="7">
        <v>1863</v>
      </c>
      <c r="B207" s="3" t="s">
        <v>3</v>
      </c>
      <c r="C207" s="20" t="s">
        <v>273</v>
      </c>
      <c r="D207" s="20">
        <v>28.1</v>
      </c>
      <c r="E207" s="20">
        <v>0.32</v>
      </c>
      <c r="F207" s="20">
        <v>0.43</v>
      </c>
      <c r="G207" s="20">
        <v>7.0000000000000007E-2</v>
      </c>
      <c r="H207" s="20">
        <v>4.62</v>
      </c>
      <c r="I207" s="20">
        <v>0.09</v>
      </c>
      <c r="J207" s="20">
        <v>0.44</v>
      </c>
      <c r="K207" s="20">
        <v>0.04</v>
      </c>
      <c r="L207" s="20">
        <v>23</v>
      </c>
      <c r="M207" s="20">
        <v>0.17</v>
      </c>
      <c r="N207" s="20">
        <v>0.2</v>
      </c>
      <c r="O207" s="20">
        <v>0.01</v>
      </c>
      <c r="P207" s="20">
        <v>7.52</v>
      </c>
      <c r="Q207" s="20">
        <v>0.13</v>
      </c>
      <c r="R207" s="20">
        <v>2.99</v>
      </c>
      <c r="S207" s="20">
        <v>0.04</v>
      </c>
      <c r="T207" s="20">
        <v>1.58</v>
      </c>
      <c r="U207" s="20">
        <v>0.25</v>
      </c>
      <c r="V207" s="20">
        <v>0.14000000000000001</v>
      </c>
      <c r="W207" s="20">
        <v>0.06</v>
      </c>
      <c r="X207" s="20">
        <v>0.76</v>
      </c>
      <c r="Y207" s="20">
        <v>0.09</v>
      </c>
      <c r="Z207" s="20">
        <v>29.7</v>
      </c>
      <c r="AA207" s="20">
        <v>0.33</v>
      </c>
      <c r="AB207" s="20">
        <v>0.42</v>
      </c>
      <c r="AC207" s="20">
        <v>0.02</v>
      </c>
    </row>
    <row r="208" spans="1:29" x14ac:dyDescent="0.25">
      <c r="A208" s="7">
        <v>1925</v>
      </c>
      <c r="B208" s="3" t="s">
        <v>8</v>
      </c>
      <c r="C208" s="20" t="s">
        <v>274</v>
      </c>
      <c r="D208" s="20">
        <v>28.4</v>
      </c>
      <c r="E208" s="20">
        <v>0.27</v>
      </c>
      <c r="F208" s="20">
        <v>0.43</v>
      </c>
      <c r="G208" s="20">
        <v>0.06</v>
      </c>
      <c r="H208" s="20">
        <v>4.92</v>
      </c>
      <c r="I208" s="20">
        <v>7.0000000000000007E-2</v>
      </c>
      <c r="J208" s="20">
        <v>0.43</v>
      </c>
      <c r="K208" s="20">
        <v>0.03</v>
      </c>
      <c r="L208" s="20">
        <v>19.7</v>
      </c>
      <c r="M208" s="20">
        <v>0.12</v>
      </c>
      <c r="N208" s="20">
        <v>0.2</v>
      </c>
      <c r="O208" s="20">
        <v>0.01</v>
      </c>
      <c r="P208" s="20">
        <v>4.46</v>
      </c>
      <c r="Q208" s="20">
        <v>7.0000000000000007E-2</v>
      </c>
      <c r="R208" s="20">
        <v>5.75</v>
      </c>
      <c r="S208" s="20">
        <v>0.04</v>
      </c>
      <c r="T208" s="20">
        <v>1.38</v>
      </c>
      <c r="U208" s="20">
        <v>0.19</v>
      </c>
      <c r="V208" s="20">
        <v>0.14000000000000001</v>
      </c>
      <c r="W208" s="20">
        <v>0.05</v>
      </c>
      <c r="X208" s="20">
        <v>0.79</v>
      </c>
      <c r="Y208" s="20">
        <v>0.08</v>
      </c>
      <c r="Z208" s="20">
        <v>33.03</v>
      </c>
      <c r="AA208" s="20">
        <v>0.28000000000000003</v>
      </c>
      <c r="AB208" s="20">
        <v>0.3</v>
      </c>
      <c r="AC208" s="20">
        <v>0.01</v>
      </c>
    </row>
    <row r="209" spans="1:29" x14ac:dyDescent="0.25">
      <c r="A209" s="7">
        <v>1927</v>
      </c>
      <c r="B209" s="3" t="s">
        <v>8</v>
      </c>
      <c r="C209" s="20" t="s">
        <v>275</v>
      </c>
      <c r="D209" s="20">
        <v>33.700000000000003</v>
      </c>
      <c r="E209" s="20">
        <v>0.32</v>
      </c>
      <c r="F209" s="20">
        <v>0.44</v>
      </c>
      <c r="G209" s="20">
        <v>0.06</v>
      </c>
      <c r="H209" s="20">
        <v>4.74</v>
      </c>
      <c r="I209" s="20">
        <v>7.0000000000000007E-2</v>
      </c>
      <c r="J209" s="20">
        <v>0.47</v>
      </c>
      <c r="K209" s="20">
        <v>0.03</v>
      </c>
      <c r="L209" s="20">
        <v>16.7</v>
      </c>
      <c r="M209" s="20">
        <v>0.11</v>
      </c>
      <c r="N209" s="20">
        <v>0.16</v>
      </c>
      <c r="O209" s="20">
        <v>0.01</v>
      </c>
      <c r="P209" s="20">
        <v>3.92</v>
      </c>
      <c r="Q209" s="20">
        <v>7.0000000000000007E-2</v>
      </c>
      <c r="R209" s="20">
        <v>6.6</v>
      </c>
      <c r="S209" s="20">
        <v>0.05</v>
      </c>
      <c r="T209" s="20">
        <v>1.23</v>
      </c>
      <c r="U209" s="20">
        <v>0.19</v>
      </c>
      <c r="V209" s="20">
        <v>0.15</v>
      </c>
      <c r="W209" s="20">
        <v>0.05</v>
      </c>
      <c r="X209" s="20">
        <v>0.66</v>
      </c>
      <c r="Y209" s="20">
        <v>7.0000000000000007E-2</v>
      </c>
      <c r="Z209" s="20">
        <v>30.91</v>
      </c>
      <c r="AA209" s="20">
        <v>0.26</v>
      </c>
      <c r="AB209" s="20">
        <v>0.28999999999999998</v>
      </c>
      <c r="AC209" s="20">
        <v>0.01</v>
      </c>
    </row>
    <row r="210" spans="1:29" x14ac:dyDescent="0.25">
      <c r="A210" s="7">
        <v>1928</v>
      </c>
      <c r="B210" s="3" t="s">
        <v>8</v>
      </c>
      <c r="C210" s="20" t="s">
        <v>276</v>
      </c>
      <c r="D210" s="20">
        <v>35</v>
      </c>
      <c r="E210" s="20">
        <v>0.26</v>
      </c>
      <c r="F210" s="20">
        <v>0.48</v>
      </c>
      <c r="G210" s="20">
        <v>0.06</v>
      </c>
      <c r="H210" s="20">
        <v>5.27</v>
      </c>
      <c r="I210" s="20">
        <v>0.06</v>
      </c>
      <c r="J210" s="20">
        <v>0.47</v>
      </c>
      <c r="K210" s="20">
        <v>0.03</v>
      </c>
      <c r="L210" s="20">
        <v>17.100000000000001</v>
      </c>
      <c r="M210" s="20">
        <v>7.0000000000000007E-2</v>
      </c>
      <c r="N210" s="20">
        <v>0.19</v>
      </c>
      <c r="O210" s="20">
        <v>0.01</v>
      </c>
      <c r="P210" s="20">
        <v>4.3499999999999996</v>
      </c>
      <c r="Q210" s="20">
        <v>7.0000000000000007E-2</v>
      </c>
      <c r="R210" s="20">
        <v>5.85</v>
      </c>
      <c r="S210" s="20">
        <v>0.04</v>
      </c>
      <c r="T210" s="20">
        <v>1.38</v>
      </c>
      <c r="U210" s="20">
        <v>0.19</v>
      </c>
      <c r="V210" s="20">
        <v>0.17</v>
      </c>
      <c r="W210" s="20">
        <v>0.05</v>
      </c>
      <c r="X210" s="20">
        <v>0.68</v>
      </c>
      <c r="Y210" s="20">
        <v>7.0000000000000007E-2</v>
      </c>
      <c r="Z210" s="20">
        <v>28.64</v>
      </c>
      <c r="AA210" s="20">
        <v>0.21</v>
      </c>
      <c r="AB210" s="20">
        <v>0.31</v>
      </c>
      <c r="AC210" s="20">
        <v>0.01</v>
      </c>
    </row>
    <row r="211" spans="1:29" x14ac:dyDescent="0.25">
      <c r="A211" s="7">
        <v>1934</v>
      </c>
      <c r="B211" s="3" t="s">
        <v>8</v>
      </c>
      <c r="C211" s="20" t="s">
        <v>277</v>
      </c>
      <c r="D211" s="20">
        <v>36.200000000000003</v>
      </c>
      <c r="E211" s="20">
        <v>0.27</v>
      </c>
      <c r="F211" s="20">
        <v>0.5</v>
      </c>
      <c r="G211" s="20">
        <v>0.06</v>
      </c>
      <c r="H211" s="20">
        <v>5.31</v>
      </c>
      <c r="I211" s="20">
        <v>7.0000000000000007E-2</v>
      </c>
      <c r="J211" s="20">
        <v>0.45</v>
      </c>
      <c r="K211" s="20">
        <v>0.03</v>
      </c>
      <c r="L211" s="20">
        <v>16.7</v>
      </c>
      <c r="M211" s="20">
        <v>0.08</v>
      </c>
      <c r="N211" s="20">
        <v>0.17</v>
      </c>
      <c r="O211" s="20">
        <v>0.01</v>
      </c>
      <c r="P211" s="20">
        <v>4.3899999999999997</v>
      </c>
      <c r="Q211" s="20">
        <v>0.08</v>
      </c>
      <c r="R211" s="20">
        <v>5.66</v>
      </c>
      <c r="S211" s="20">
        <v>0.04</v>
      </c>
      <c r="T211" s="20">
        <v>1.37</v>
      </c>
      <c r="U211" s="20">
        <v>0.21</v>
      </c>
      <c r="V211" s="20">
        <v>0.19</v>
      </c>
      <c r="W211" s="20">
        <v>0.05</v>
      </c>
      <c r="X211" s="20">
        <v>0.7</v>
      </c>
      <c r="Y211" s="20">
        <v>7.0000000000000007E-2</v>
      </c>
      <c r="Z211" s="20">
        <v>27.88</v>
      </c>
      <c r="AA211" s="20">
        <v>0.22</v>
      </c>
      <c r="AB211" s="20">
        <v>0.32</v>
      </c>
      <c r="AC211" s="20">
        <v>0.01</v>
      </c>
    </row>
    <row r="212" spans="1:29" x14ac:dyDescent="0.25">
      <c r="A212" s="7">
        <v>1935</v>
      </c>
      <c r="B212" s="3" t="s">
        <v>8</v>
      </c>
      <c r="C212" s="20" t="s">
        <v>278</v>
      </c>
      <c r="D212" s="20">
        <v>36.700000000000003</v>
      </c>
      <c r="E212" s="20">
        <v>0.35</v>
      </c>
      <c r="F212" s="20">
        <v>0.51</v>
      </c>
      <c r="G212" s="20">
        <v>0.06</v>
      </c>
      <c r="H212" s="20">
        <v>5.71</v>
      </c>
      <c r="I212" s="20">
        <v>0.08</v>
      </c>
      <c r="J212" s="20">
        <v>0.44</v>
      </c>
      <c r="K212" s="20">
        <v>0.03</v>
      </c>
      <c r="L212" s="20">
        <v>17.100000000000001</v>
      </c>
      <c r="M212" s="20">
        <v>0.11</v>
      </c>
      <c r="N212" s="20">
        <v>0.19</v>
      </c>
      <c r="O212" s="20">
        <v>0.01</v>
      </c>
      <c r="P212" s="20">
        <v>4.5199999999999996</v>
      </c>
      <c r="Q212" s="20">
        <v>0.08</v>
      </c>
      <c r="R212" s="20">
        <v>5.48</v>
      </c>
      <c r="S212" s="20">
        <v>0.04</v>
      </c>
      <c r="T212" s="20">
        <v>1.45</v>
      </c>
      <c r="U212" s="20">
        <v>0.21</v>
      </c>
      <c r="V212" s="20">
        <v>0.21</v>
      </c>
      <c r="W212" s="20">
        <v>0.05</v>
      </c>
      <c r="X212" s="20">
        <v>0.7</v>
      </c>
      <c r="Y212" s="20">
        <v>0.08</v>
      </c>
      <c r="Z212" s="20">
        <v>26.66</v>
      </c>
      <c r="AA212" s="20">
        <v>0.24</v>
      </c>
      <c r="AB212" s="20">
        <v>0.33</v>
      </c>
      <c r="AC212" s="20">
        <v>0.01</v>
      </c>
    </row>
    <row r="213" spans="1:29" x14ac:dyDescent="0.25">
      <c r="A213" s="7">
        <v>1939</v>
      </c>
      <c r="B213" s="3" t="s">
        <v>8</v>
      </c>
      <c r="C213" s="20" t="s">
        <v>279</v>
      </c>
      <c r="D213" s="20">
        <v>28.7</v>
      </c>
      <c r="E213" s="20">
        <v>0.27</v>
      </c>
      <c r="F213" s="20">
        <v>0.37</v>
      </c>
      <c r="G213" s="20">
        <v>0.06</v>
      </c>
      <c r="H213" s="20">
        <v>4.79</v>
      </c>
      <c r="I213" s="20">
        <v>7.0000000000000007E-2</v>
      </c>
      <c r="J213" s="20">
        <v>0.5</v>
      </c>
      <c r="K213" s="20">
        <v>0.03</v>
      </c>
      <c r="L213" s="20">
        <v>18.7</v>
      </c>
      <c r="M213" s="20">
        <v>0.12</v>
      </c>
      <c r="N213" s="20">
        <v>0.15</v>
      </c>
      <c r="O213" s="20">
        <v>0.01</v>
      </c>
      <c r="P213" s="20">
        <v>4.07</v>
      </c>
      <c r="Q213" s="20">
        <v>7.0000000000000007E-2</v>
      </c>
      <c r="R213" s="20">
        <v>5.64</v>
      </c>
      <c r="S213" s="20">
        <v>0.04</v>
      </c>
      <c r="T213" s="20">
        <v>1.08</v>
      </c>
      <c r="U213" s="20">
        <v>0.2</v>
      </c>
      <c r="V213" s="20">
        <v>0.15</v>
      </c>
      <c r="W213" s="20">
        <v>0.05</v>
      </c>
      <c r="X213" s="20">
        <v>0.73</v>
      </c>
      <c r="Y213" s="20">
        <v>7.0000000000000007E-2</v>
      </c>
      <c r="Z213" s="20">
        <v>34.74</v>
      </c>
      <c r="AA213" s="20">
        <v>0.28999999999999998</v>
      </c>
      <c r="AB213" s="20">
        <v>0.28999999999999998</v>
      </c>
      <c r="AC213" s="20">
        <v>0.01</v>
      </c>
    </row>
    <row r="214" spans="1:29" x14ac:dyDescent="0.25">
      <c r="A214" s="7">
        <v>1940</v>
      </c>
      <c r="B214" s="3" t="s">
        <v>8</v>
      </c>
      <c r="C214" s="20" t="s">
        <v>280</v>
      </c>
      <c r="D214" s="20">
        <v>28.6</v>
      </c>
      <c r="E214" s="20">
        <v>0.27</v>
      </c>
      <c r="F214" s="20">
        <v>0.36</v>
      </c>
      <c r="G214" s="20">
        <v>0.06</v>
      </c>
      <c r="H214" s="20">
        <v>4.6100000000000003</v>
      </c>
      <c r="I214" s="20">
        <v>0.06</v>
      </c>
      <c r="J214" s="20">
        <v>0.51</v>
      </c>
      <c r="K214" s="20">
        <v>0.03</v>
      </c>
      <c r="L214" s="20">
        <v>18.899999999999999</v>
      </c>
      <c r="M214" s="20">
        <v>0.12</v>
      </c>
      <c r="N214" s="20">
        <v>0.15</v>
      </c>
      <c r="O214" s="20">
        <v>0.01</v>
      </c>
      <c r="P214" s="20">
        <v>3.91</v>
      </c>
      <c r="Q214" s="20">
        <v>7.0000000000000007E-2</v>
      </c>
      <c r="R214" s="20">
        <v>5.28</v>
      </c>
      <c r="S214" s="20">
        <v>0.04</v>
      </c>
      <c r="T214" s="20">
        <v>0.96</v>
      </c>
      <c r="U214" s="20">
        <v>0.2</v>
      </c>
      <c r="V214" s="20">
        <v>0.12</v>
      </c>
      <c r="W214" s="20">
        <v>0.05</v>
      </c>
      <c r="X214" s="20">
        <v>0.76</v>
      </c>
      <c r="Y214" s="20">
        <v>0.08</v>
      </c>
      <c r="Z214" s="20">
        <v>35.56</v>
      </c>
      <c r="AA214" s="20">
        <v>0.3</v>
      </c>
      <c r="AB214" s="20">
        <v>0.28000000000000003</v>
      </c>
      <c r="AC214" s="20">
        <v>0.01</v>
      </c>
    </row>
    <row r="215" spans="1:29" x14ac:dyDescent="0.25">
      <c r="A215" s="7">
        <v>1941</v>
      </c>
      <c r="B215" s="3" t="s">
        <v>8</v>
      </c>
      <c r="C215" s="20" t="s">
        <v>281</v>
      </c>
      <c r="D215" s="20">
        <v>28.2</v>
      </c>
      <c r="E215" s="20">
        <v>0.2</v>
      </c>
      <c r="F215" s="20">
        <v>0.41</v>
      </c>
      <c r="G215" s="20">
        <v>0.06</v>
      </c>
      <c r="H215" s="20">
        <v>4.5</v>
      </c>
      <c r="I215" s="20">
        <v>0.05</v>
      </c>
      <c r="J215" s="20">
        <v>0.49</v>
      </c>
      <c r="K215" s="20">
        <v>0.03</v>
      </c>
      <c r="L215" s="20">
        <v>18.899999999999999</v>
      </c>
      <c r="M215" s="20">
        <v>7.0000000000000007E-2</v>
      </c>
      <c r="N215" s="20">
        <v>0.15</v>
      </c>
      <c r="O215" s="20">
        <v>0.01</v>
      </c>
      <c r="P215" s="20">
        <v>3.8</v>
      </c>
      <c r="Q215" s="20">
        <v>0.05</v>
      </c>
      <c r="R215" s="20">
        <v>5.42</v>
      </c>
      <c r="S215" s="20">
        <v>0.04</v>
      </c>
      <c r="T215" s="20">
        <v>1.02</v>
      </c>
      <c r="U215" s="20">
        <v>0.17</v>
      </c>
      <c r="V215" s="20">
        <v>0.12</v>
      </c>
      <c r="W215" s="20">
        <v>0.05</v>
      </c>
      <c r="X215" s="20">
        <v>0.76</v>
      </c>
      <c r="Y215" s="20">
        <v>7.0000000000000007E-2</v>
      </c>
      <c r="Z215" s="20">
        <v>35.82</v>
      </c>
      <c r="AA215" s="20">
        <v>0.24</v>
      </c>
      <c r="AB215" s="20">
        <v>0.27</v>
      </c>
      <c r="AC215" s="20">
        <v>0.01</v>
      </c>
    </row>
    <row r="216" spans="1:29" x14ac:dyDescent="0.25">
      <c r="A216" s="7">
        <v>1945</v>
      </c>
      <c r="B216" s="3" t="s">
        <v>3</v>
      </c>
      <c r="C216" s="20" t="s">
        <v>282</v>
      </c>
      <c r="D216" s="20">
        <v>45.4</v>
      </c>
      <c r="E216" s="20">
        <v>0.42</v>
      </c>
      <c r="F216" s="20">
        <v>0.73</v>
      </c>
      <c r="G216" s="20">
        <v>0.06</v>
      </c>
      <c r="H216" s="20">
        <v>10.24</v>
      </c>
      <c r="I216" s="20">
        <v>0.12</v>
      </c>
      <c r="J216" s="20">
        <v>0.34</v>
      </c>
      <c r="K216" s="20">
        <v>0.03</v>
      </c>
      <c r="L216" s="20">
        <v>16</v>
      </c>
      <c r="M216" s="20">
        <v>0.11</v>
      </c>
      <c r="N216" s="20">
        <v>0.32</v>
      </c>
      <c r="O216" s="20">
        <v>0.01</v>
      </c>
      <c r="P216" s="20">
        <v>8.82</v>
      </c>
      <c r="Q216" s="20">
        <v>0.11</v>
      </c>
      <c r="R216" s="20">
        <v>6.23</v>
      </c>
      <c r="S216" s="20">
        <v>0.05</v>
      </c>
      <c r="T216" s="20">
        <v>2.88</v>
      </c>
      <c r="U216" s="20">
        <v>0.22</v>
      </c>
      <c r="V216" s="20">
        <v>0.37</v>
      </c>
      <c r="W216" s="20">
        <v>0.06</v>
      </c>
      <c r="X216" s="20">
        <v>0.78</v>
      </c>
      <c r="Y216" s="20">
        <v>7.0000000000000007E-2</v>
      </c>
      <c r="Z216" s="20">
        <v>7.26</v>
      </c>
      <c r="AA216" s="20">
        <v>0.09</v>
      </c>
      <c r="AB216" s="20">
        <v>0.48</v>
      </c>
      <c r="AC216" s="20">
        <v>0.01</v>
      </c>
    </row>
    <row r="217" spans="1:29" x14ac:dyDescent="0.25">
      <c r="A217" s="7">
        <v>1946</v>
      </c>
      <c r="B217" s="3" t="s">
        <v>3</v>
      </c>
      <c r="C217" s="20" t="s">
        <v>283</v>
      </c>
      <c r="D217" s="20">
        <v>46</v>
      </c>
      <c r="E217" s="20">
        <v>0.41</v>
      </c>
      <c r="F217" s="20">
        <v>0.72</v>
      </c>
      <c r="G217" s="20">
        <v>0.06</v>
      </c>
      <c r="H217" s="20">
        <v>10.37</v>
      </c>
      <c r="I217" s="20">
        <v>0.12</v>
      </c>
      <c r="J217" s="20">
        <v>0.33</v>
      </c>
      <c r="K217" s="20">
        <v>0.03</v>
      </c>
      <c r="L217" s="20">
        <v>15.9</v>
      </c>
      <c r="M217" s="20">
        <v>0.1</v>
      </c>
      <c r="N217" s="20">
        <v>0.31</v>
      </c>
      <c r="O217" s="20">
        <v>0.01</v>
      </c>
      <c r="P217" s="20">
        <v>8.89</v>
      </c>
      <c r="Q217" s="20">
        <v>0.11</v>
      </c>
      <c r="R217" s="20">
        <v>6.26</v>
      </c>
      <c r="S217" s="20">
        <v>0.05</v>
      </c>
      <c r="T217" s="20">
        <v>2.83</v>
      </c>
      <c r="U217" s="20">
        <v>0.21</v>
      </c>
      <c r="V217" s="20">
        <v>0.35</v>
      </c>
      <c r="W217" s="20">
        <v>0.06</v>
      </c>
      <c r="X217" s="20">
        <v>0.78</v>
      </c>
      <c r="Y217" s="20">
        <v>7.0000000000000007E-2</v>
      </c>
      <c r="Z217" s="20">
        <v>6.76</v>
      </c>
      <c r="AA217" s="20">
        <v>0.08</v>
      </c>
      <c r="AB217" s="20">
        <v>0.46</v>
      </c>
      <c r="AC217" s="20">
        <v>0.01</v>
      </c>
    </row>
    <row r="218" spans="1:29" x14ac:dyDescent="0.25">
      <c r="A218" s="7">
        <v>1947</v>
      </c>
      <c r="B218" s="3" t="s">
        <v>3</v>
      </c>
      <c r="C218" s="20" t="s">
        <v>284</v>
      </c>
      <c r="D218" s="20">
        <v>45.9</v>
      </c>
      <c r="E218" s="20">
        <v>0.43</v>
      </c>
      <c r="F218" s="20">
        <v>0.72</v>
      </c>
      <c r="G218" s="20">
        <v>0.06</v>
      </c>
      <c r="H218" s="20">
        <v>10.38</v>
      </c>
      <c r="I218" s="20">
        <v>0.12</v>
      </c>
      <c r="J218" s="20">
        <v>0.33</v>
      </c>
      <c r="K218" s="20">
        <v>0.03</v>
      </c>
      <c r="L218" s="20">
        <v>16.100000000000001</v>
      </c>
      <c r="M218" s="20">
        <v>0.11</v>
      </c>
      <c r="N218" s="20">
        <v>0.3</v>
      </c>
      <c r="O218" s="20">
        <v>0.01</v>
      </c>
      <c r="P218" s="20">
        <v>9.16</v>
      </c>
      <c r="Q218" s="20">
        <v>0.12</v>
      </c>
      <c r="R218" s="20">
        <v>6.25</v>
      </c>
      <c r="S218" s="20">
        <v>0.05</v>
      </c>
      <c r="T218" s="20">
        <v>2.94</v>
      </c>
      <c r="U218" s="20">
        <v>0.21</v>
      </c>
      <c r="V218" s="20">
        <v>0.37</v>
      </c>
      <c r="W218" s="20">
        <v>0.06</v>
      </c>
      <c r="X218" s="20">
        <v>0.77</v>
      </c>
      <c r="Y218" s="20">
        <v>7.0000000000000007E-2</v>
      </c>
      <c r="Z218" s="20">
        <v>6.2</v>
      </c>
      <c r="AA218" s="20">
        <v>0.08</v>
      </c>
      <c r="AB218" s="20">
        <v>0.45</v>
      </c>
      <c r="AC218" s="20">
        <v>0.01</v>
      </c>
    </row>
    <row r="219" spans="1:29" x14ac:dyDescent="0.25">
      <c r="A219" s="7">
        <v>1966</v>
      </c>
      <c r="B219" s="3" t="s">
        <v>285</v>
      </c>
      <c r="C219" s="20" t="s">
        <v>284</v>
      </c>
      <c r="D219" s="20">
        <v>45.7</v>
      </c>
      <c r="E219" s="20">
        <v>0.32</v>
      </c>
      <c r="F219" s="20">
        <v>0.89</v>
      </c>
      <c r="G219" s="20">
        <v>7.0000000000000007E-2</v>
      </c>
      <c r="H219" s="20">
        <v>9.16</v>
      </c>
      <c r="I219" s="20">
        <v>0.1</v>
      </c>
      <c r="J219" s="20">
        <v>0.37</v>
      </c>
      <c r="K219" s="20">
        <v>0.03</v>
      </c>
      <c r="L219" s="20">
        <v>16.2</v>
      </c>
      <c r="M219" s="20">
        <v>0.08</v>
      </c>
      <c r="N219" s="20">
        <v>0.31</v>
      </c>
      <c r="O219" s="20">
        <v>0.01</v>
      </c>
      <c r="P219" s="20">
        <v>8.16</v>
      </c>
      <c r="Q219" s="20">
        <v>0.1</v>
      </c>
      <c r="R219" s="20">
        <v>5.75</v>
      </c>
      <c r="S219" s="20">
        <v>0.04</v>
      </c>
      <c r="T219" s="20">
        <v>2.8</v>
      </c>
      <c r="U219" s="20">
        <v>0.22</v>
      </c>
      <c r="V219" s="20">
        <v>0.36</v>
      </c>
      <c r="W219" s="20">
        <v>0.06</v>
      </c>
      <c r="X219" s="20">
        <v>0.87</v>
      </c>
      <c r="Y219" s="20">
        <v>7.0000000000000007E-2</v>
      </c>
      <c r="Z219" s="20">
        <v>8.7799999999999994</v>
      </c>
      <c r="AA219" s="20">
        <v>0.1</v>
      </c>
      <c r="AB219" s="20">
        <v>0.59</v>
      </c>
      <c r="AC219" s="20">
        <v>0.01</v>
      </c>
    </row>
    <row r="220" spans="1:29" x14ac:dyDescent="0.25">
      <c r="A220" s="7">
        <v>1967</v>
      </c>
      <c r="B220" s="3" t="s">
        <v>8</v>
      </c>
      <c r="C220" s="20" t="s">
        <v>286</v>
      </c>
      <c r="D220" s="20">
        <v>37.299999999999997</v>
      </c>
      <c r="E220" s="20">
        <v>0.34</v>
      </c>
      <c r="F220" s="20">
        <v>0.44</v>
      </c>
      <c r="G220" s="20">
        <v>0.06</v>
      </c>
      <c r="H220" s="20">
        <v>5.37</v>
      </c>
      <c r="I220" s="20">
        <v>7.0000000000000007E-2</v>
      </c>
      <c r="J220" s="20">
        <v>0.66</v>
      </c>
      <c r="K220" s="20">
        <v>0.04</v>
      </c>
      <c r="L220" s="20">
        <v>15.7</v>
      </c>
      <c r="M220" s="20">
        <v>0.1</v>
      </c>
      <c r="N220" s="20">
        <v>0.18</v>
      </c>
      <c r="O220" s="20">
        <v>0.01</v>
      </c>
      <c r="P220" s="20">
        <v>5.05</v>
      </c>
      <c r="Q220" s="20">
        <v>7.0000000000000007E-2</v>
      </c>
      <c r="R220" s="20">
        <v>6.4</v>
      </c>
      <c r="S220" s="20">
        <v>0.05</v>
      </c>
      <c r="T220" s="20">
        <v>0.88</v>
      </c>
      <c r="U220" s="20">
        <v>0.16</v>
      </c>
      <c r="V220" s="20">
        <v>0.18</v>
      </c>
      <c r="W220" s="20">
        <v>0.05</v>
      </c>
      <c r="X220" s="20">
        <v>0.71</v>
      </c>
      <c r="Y220" s="20">
        <v>7.0000000000000007E-2</v>
      </c>
      <c r="Z220" s="20">
        <v>26.76</v>
      </c>
      <c r="AA220" s="20">
        <v>0.22</v>
      </c>
      <c r="AB220" s="20">
        <v>0.28999999999999998</v>
      </c>
      <c r="AC220" s="20">
        <v>0.01</v>
      </c>
    </row>
    <row r="221" spans="1:29" x14ac:dyDescent="0.25">
      <c r="A221" s="7">
        <v>1973</v>
      </c>
      <c r="B221" s="3" t="s">
        <v>287</v>
      </c>
      <c r="C221" s="20" t="s">
        <v>288</v>
      </c>
      <c r="D221" s="20">
        <v>40.4</v>
      </c>
      <c r="E221" s="20">
        <v>0.38</v>
      </c>
      <c r="F221" s="20">
        <v>0.83</v>
      </c>
      <c r="G221" s="20">
        <v>7.0000000000000007E-2</v>
      </c>
      <c r="H221" s="20">
        <v>8.15</v>
      </c>
      <c r="I221" s="20">
        <v>0.11</v>
      </c>
      <c r="J221" s="20">
        <v>0.46</v>
      </c>
      <c r="K221" s="20">
        <v>0.03</v>
      </c>
      <c r="L221" s="20">
        <v>17.399999999999999</v>
      </c>
      <c r="M221" s="20">
        <v>0.11</v>
      </c>
      <c r="N221" s="20">
        <v>0.28999999999999998</v>
      </c>
      <c r="O221" s="20">
        <v>0.01</v>
      </c>
      <c r="P221" s="20">
        <v>6.85</v>
      </c>
      <c r="Q221" s="20">
        <v>0.12</v>
      </c>
      <c r="R221" s="20">
        <v>5.7</v>
      </c>
      <c r="S221" s="20">
        <v>0.04</v>
      </c>
      <c r="T221" s="20">
        <v>2.31</v>
      </c>
      <c r="U221" s="20">
        <v>0.27</v>
      </c>
      <c r="V221" s="20">
        <v>0.32</v>
      </c>
      <c r="W221" s="20">
        <v>0.06</v>
      </c>
      <c r="X221" s="20">
        <v>0.8</v>
      </c>
      <c r="Y221" s="20">
        <v>0.08</v>
      </c>
      <c r="Z221" s="20">
        <v>15.93</v>
      </c>
      <c r="AA221" s="20">
        <v>0.16</v>
      </c>
      <c r="AB221" s="20">
        <v>0.42</v>
      </c>
      <c r="AC221" s="20">
        <v>0.01</v>
      </c>
    </row>
    <row r="222" spans="1:29" x14ac:dyDescent="0.25">
      <c r="A222" s="7">
        <v>1979</v>
      </c>
      <c r="B222" s="3" t="s">
        <v>8</v>
      </c>
      <c r="C222" s="20" t="s">
        <v>289</v>
      </c>
      <c r="D222" s="20">
        <v>36.5</v>
      </c>
      <c r="E222" s="20">
        <v>0.33</v>
      </c>
      <c r="F222" s="20">
        <v>0.37</v>
      </c>
      <c r="G222" s="20">
        <v>0.06</v>
      </c>
      <c r="H222" s="20">
        <v>4.92</v>
      </c>
      <c r="I222" s="20">
        <v>7.0000000000000007E-2</v>
      </c>
      <c r="J222" s="20">
        <v>0.51</v>
      </c>
      <c r="K222" s="20">
        <v>0.03</v>
      </c>
      <c r="L222" s="20">
        <v>18.7</v>
      </c>
      <c r="M222" s="20">
        <v>0.11</v>
      </c>
      <c r="N222" s="20">
        <v>0.25</v>
      </c>
      <c r="O222" s="20">
        <v>0.01</v>
      </c>
      <c r="P222" s="20">
        <v>7.51</v>
      </c>
      <c r="Q222" s="20">
        <v>0.09</v>
      </c>
      <c r="R222" s="20">
        <v>5.36</v>
      </c>
      <c r="S222" s="20">
        <v>0.04</v>
      </c>
      <c r="T222" s="20">
        <v>1.33</v>
      </c>
      <c r="U222" s="20">
        <v>0.19</v>
      </c>
      <c r="V222" s="20">
        <v>0.12</v>
      </c>
      <c r="W222" s="20">
        <v>0.05</v>
      </c>
      <c r="X222" s="20">
        <v>0.63</v>
      </c>
      <c r="Y222" s="20">
        <v>7.0000000000000007E-2</v>
      </c>
      <c r="Z222" s="20">
        <v>23.3</v>
      </c>
      <c r="AA222" s="20">
        <v>0.2</v>
      </c>
      <c r="AB222" s="20">
        <v>0.33</v>
      </c>
      <c r="AC222" s="20">
        <v>0.01</v>
      </c>
    </row>
    <row r="223" spans="1:29" x14ac:dyDescent="0.25">
      <c r="A223" s="7">
        <v>1981</v>
      </c>
      <c r="B223" s="3" t="s">
        <v>287</v>
      </c>
      <c r="C223" s="20" t="s">
        <v>290</v>
      </c>
      <c r="D223" s="20">
        <v>42.9</v>
      </c>
      <c r="E223" s="20">
        <v>0.41</v>
      </c>
      <c r="F223" s="20">
        <v>1.02</v>
      </c>
      <c r="G223" s="20">
        <v>7.0000000000000007E-2</v>
      </c>
      <c r="H223" s="20">
        <v>9.01</v>
      </c>
      <c r="I223" s="20">
        <v>0.12</v>
      </c>
      <c r="J223" s="20">
        <v>0.44</v>
      </c>
      <c r="K223" s="20">
        <v>0.03</v>
      </c>
      <c r="L223" s="20">
        <v>17.7</v>
      </c>
      <c r="M223" s="20">
        <v>0.12</v>
      </c>
      <c r="N223" s="20">
        <v>0.36</v>
      </c>
      <c r="O223" s="20">
        <v>0.01</v>
      </c>
      <c r="P223" s="20">
        <v>8.4499999999999993</v>
      </c>
      <c r="Q223" s="20">
        <v>0.14000000000000001</v>
      </c>
      <c r="R223" s="20">
        <v>6.03</v>
      </c>
      <c r="S223" s="20">
        <v>0.05</v>
      </c>
      <c r="T223" s="20">
        <v>2.65</v>
      </c>
      <c r="U223" s="20">
        <v>0.28999999999999998</v>
      </c>
      <c r="V223" s="20">
        <v>0.36</v>
      </c>
      <c r="W223" s="20">
        <v>0.06</v>
      </c>
      <c r="X223" s="20">
        <v>0.87</v>
      </c>
      <c r="Y223" s="20">
        <v>7.0000000000000007E-2</v>
      </c>
      <c r="Z223" s="20">
        <v>9.36</v>
      </c>
      <c r="AA223" s="20">
        <v>0.11</v>
      </c>
      <c r="AB223" s="20">
        <v>0.65</v>
      </c>
      <c r="AC223" s="20">
        <v>0.01</v>
      </c>
    </row>
    <row r="224" spans="1:29" x14ac:dyDescent="0.25">
      <c r="A224" s="7">
        <v>1995</v>
      </c>
      <c r="B224" s="3" t="s">
        <v>287</v>
      </c>
      <c r="C224" s="20" t="s">
        <v>291</v>
      </c>
      <c r="D224" s="20">
        <v>42.8</v>
      </c>
      <c r="E224" s="20">
        <v>0.45</v>
      </c>
      <c r="F224" s="20">
        <v>0.96</v>
      </c>
      <c r="G224" s="20">
        <v>7.0000000000000007E-2</v>
      </c>
      <c r="H224" s="20">
        <v>8.8800000000000008</v>
      </c>
      <c r="I224" s="20">
        <v>0.13</v>
      </c>
      <c r="J224" s="20">
        <v>0.46</v>
      </c>
      <c r="K224" s="20">
        <v>0.04</v>
      </c>
      <c r="L224" s="20">
        <v>18.2</v>
      </c>
      <c r="M224" s="20">
        <v>0.14000000000000001</v>
      </c>
      <c r="N224" s="20">
        <v>0.36</v>
      </c>
      <c r="O224" s="20">
        <v>0.01</v>
      </c>
      <c r="P224" s="20">
        <v>8.0399999999999991</v>
      </c>
      <c r="Q224" s="20">
        <v>0.13</v>
      </c>
      <c r="R224" s="20">
        <v>5.97</v>
      </c>
      <c r="S224" s="20">
        <v>0.06</v>
      </c>
      <c r="T224" s="20">
        <v>2.46</v>
      </c>
      <c r="U224" s="20">
        <v>0.24</v>
      </c>
      <c r="V224" s="20">
        <v>0.4</v>
      </c>
      <c r="W224" s="20">
        <v>0.06</v>
      </c>
      <c r="X224" s="20">
        <v>0.9</v>
      </c>
      <c r="Y224" s="20">
        <v>0.08</v>
      </c>
      <c r="Z224" s="20">
        <v>9.8000000000000007</v>
      </c>
      <c r="AA224" s="20">
        <v>0.13</v>
      </c>
      <c r="AB224" s="20">
        <v>0.68</v>
      </c>
      <c r="AC224" s="20">
        <v>0.02</v>
      </c>
    </row>
    <row r="225" spans="1:29" x14ac:dyDescent="0.25">
      <c r="A225" s="7">
        <v>1997</v>
      </c>
      <c r="B225" s="3" t="s">
        <v>8</v>
      </c>
      <c r="C225" s="20" t="s">
        <v>292</v>
      </c>
      <c r="D225" s="20">
        <v>29.2</v>
      </c>
      <c r="E225" s="20">
        <v>0.24</v>
      </c>
      <c r="F225" s="20">
        <v>0.35</v>
      </c>
      <c r="G225" s="20">
        <v>0.06</v>
      </c>
      <c r="H225" s="20">
        <v>4.03</v>
      </c>
      <c r="I225" s="20">
        <v>7.0000000000000007E-2</v>
      </c>
      <c r="J225" s="20">
        <v>0.53</v>
      </c>
      <c r="K225" s="20">
        <v>0.03</v>
      </c>
      <c r="L225" s="20">
        <v>17.8</v>
      </c>
      <c r="M225" s="20">
        <v>0.08</v>
      </c>
      <c r="N225" s="20">
        <v>0.15</v>
      </c>
      <c r="O225" s="20">
        <v>0.01</v>
      </c>
      <c r="P225" s="20">
        <v>3.6</v>
      </c>
      <c r="Q225" s="20">
        <v>0.08</v>
      </c>
      <c r="R225" s="20">
        <v>8.35</v>
      </c>
      <c r="S225" s="20">
        <v>0.06</v>
      </c>
      <c r="T225" s="20">
        <v>0.57999999999999996</v>
      </c>
      <c r="U225" s="20">
        <v>0.19</v>
      </c>
      <c r="V225" s="20">
        <v>0.11</v>
      </c>
      <c r="W225" s="20">
        <v>0.05</v>
      </c>
      <c r="X225" s="20">
        <v>0.65</v>
      </c>
      <c r="Y225" s="20">
        <v>0.08</v>
      </c>
      <c r="Z225" s="20">
        <v>34.200000000000003</v>
      </c>
      <c r="AA225" s="20">
        <v>0.25</v>
      </c>
      <c r="AB225" s="20">
        <v>0.32</v>
      </c>
      <c r="AC225" s="20">
        <v>0.01</v>
      </c>
    </row>
    <row r="226" spans="1:29" x14ac:dyDescent="0.25">
      <c r="A226" s="7">
        <v>2016</v>
      </c>
      <c r="B226" s="3" t="s">
        <v>8</v>
      </c>
      <c r="C226" s="20" t="s">
        <v>293</v>
      </c>
      <c r="D226" s="20">
        <v>32.4</v>
      </c>
      <c r="E226" s="20">
        <v>0.33</v>
      </c>
      <c r="F226" s="20">
        <v>0.45</v>
      </c>
      <c r="G226" s="20">
        <v>0.06</v>
      </c>
      <c r="H226" s="20">
        <v>5.25</v>
      </c>
      <c r="I226" s="20">
        <v>0.08</v>
      </c>
      <c r="J226" s="20">
        <v>0.51</v>
      </c>
      <c r="K226" s="20">
        <v>0.04</v>
      </c>
      <c r="L226" s="20">
        <v>17.2</v>
      </c>
      <c r="M226" s="20">
        <v>0.12</v>
      </c>
      <c r="N226" s="20">
        <v>0.16</v>
      </c>
      <c r="O226" s="20">
        <v>0.01</v>
      </c>
      <c r="P226" s="20">
        <v>4.6900000000000004</v>
      </c>
      <c r="Q226" s="20">
        <v>0.09</v>
      </c>
      <c r="R226" s="20">
        <v>7.66</v>
      </c>
      <c r="S226" s="20">
        <v>0.06</v>
      </c>
      <c r="T226" s="20">
        <v>1.1000000000000001</v>
      </c>
      <c r="U226" s="20">
        <v>0.19</v>
      </c>
      <c r="V226" s="20">
        <v>0.19</v>
      </c>
      <c r="W226" s="20">
        <v>0.06</v>
      </c>
      <c r="X226" s="20">
        <v>0.72</v>
      </c>
      <c r="Y226" s="20">
        <v>0.08</v>
      </c>
      <c r="Z226" s="20">
        <v>29.3</v>
      </c>
      <c r="AA226" s="20">
        <v>0.28000000000000003</v>
      </c>
      <c r="AB226" s="20">
        <v>0.37</v>
      </c>
      <c r="AC226" s="20">
        <v>0.01</v>
      </c>
    </row>
    <row r="227" spans="1:29" x14ac:dyDescent="0.25">
      <c r="A227" s="7">
        <v>2024</v>
      </c>
      <c r="B227" s="3" t="s">
        <v>8</v>
      </c>
      <c r="C227" s="20" t="s">
        <v>294</v>
      </c>
      <c r="D227" s="20">
        <v>33.9</v>
      </c>
      <c r="E227" s="20">
        <v>0.33</v>
      </c>
      <c r="F227" s="20">
        <v>0.5</v>
      </c>
      <c r="G227" s="20">
        <v>0.06</v>
      </c>
      <c r="H227" s="20">
        <v>6.16</v>
      </c>
      <c r="I227" s="20">
        <v>0.09</v>
      </c>
      <c r="J227" s="20">
        <v>0.54</v>
      </c>
      <c r="K227" s="20">
        <v>0.03</v>
      </c>
      <c r="L227" s="20">
        <v>17</v>
      </c>
      <c r="M227" s="20">
        <v>0.11</v>
      </c>
      <c r="N227" s="20">
        <v>0.18</v>
      </c>
      <c r="O227" s="20">
        <v>0.01</v>
      </c>
      <c r="P227" s="20">
        <v>5.37</v>
      </c>
      <c r="Q227" s="20">
        <v>0.1</v>
      </c>
      <c r="R227" s="20">
        <v>5.63</v>
      </c>
      <c r="S227" s="20">
        <v>0.04</v>
      </c>
      <c r="T227" s="20">
        <v>1.46</v>
      </c>
      <c r="U227" s="20">
        <v>0.23</v>
      </c>
      <c r="V227" s="20">
        <v>0.18</v>
      </c>
      <c r="W227" s="20">
        <v>0.05</v>
      </c>
      <c r="X227" s="20">
        <v>0.78</v>
      </c>
      <c r="Y227" s="20">
        <v>0.08</v>
      </c>
      <c r="Z227" s="20">
        <v>27.94</v>
      </c>
      <c r="AA227" s="20">
        <v>0.25</v>
      </c>
      <c r="AB227" s="20">
        <v>0.33</v>
      </c>
      <c r="AC227" s="20">
        <v>0.01</v>
      </c>
    </row>
    <row r="228" spans="1:29" x14ac:dyDescent="0.25">
      <c r="A228" s="7">
        <v>2049</v>
      </c>
      <c r="B228" s="3" t="s">
        <v>4</v>
      </c>
      <c r="C228" s="3" t="s">
        <v>295</v>
      </c>
      <c r="D228" s="20">
        <v>45.6</v>
      </c>
      <c r="E228" s="20">
        <v>0.42</v>
      </c>
      <c r="F228" s="20">
        <v>1</v>
      </c>
      <c r="G228" s="20">
        <v>7.0000000000000007E-2</v>
      </c>
      <c r="H228" s="20">
        <v>9.48</v>
      </c>
      <c r="I228" s="20">
        <v>0.11</v>
      </c>
      <c r="J228" s="20">
        <v>0.33</v>
      </c>
      <c r="K228" s="20">
        <v>0.03</v>
      </c>
      <c r="L228" s="20">
        <v>16.399999999999999</v>
      </c>
      <c r="M228" s="20">
        <v>0.11</v>
      </c>
      <c r="N228" s="20">
        <v>0.32</v>
      </c>
      <c r="O228" s="20">
        <v>0.01</v>
      </c>
      <c r="P228" s="20">
        <v>8.6999999999999993</v>
      </c>
      <c r="Q228" s="20">
        <v>0.11</v>
      </c>
      <c r="R228" s="20">
        <v>6.78</v>
      </c>
      <c r="S228" s="20">
        <v>0.05</v>
      </c>
      <c r="T228" s="20">
        <v>2.99</v>
      </c>
      <c r="U228" s="20">
        <v>0.21</v>
      </c>
      <c r="V228" s="20">
        <v>0.34</v>
      </c>
      <c r="W228" s="20">
        <v>0.06</v>
      </c>
      <c r="X228" s="20">
        <v>1.19</v>
      </c>
      <c r="Y228" s="20">
        <v>0.08</v>
      </c>
      <c r="Z228" s="20">
        <v>5.43</v>
      </c>
      <c r="AA228" s="20">
        <v>7.0000000000000007E-2</v>
      </c>
      <c r="AB228" s="20">
        <v>1.23</v>
      </c>
      <c r="AC228" s="20">
        <v>0.02</v>
      </c>
    </row>
    <row r="229" spans="1:29" x14ac:dyDescent="0.25">
      <c r="A229" s="7">
        <v>2071</v>
      </c>
      <c r="B229" s="3" t="s">
        <v>4</v>
      </c>
      <c r="C229" s="3" t="s">
        <v>296</v>
      </c>
      <c r="D229" s="20">
        <v>46.3</v>
      </c>
      <c r="E229" s="20">
        <v>0.43</v>
      </c>
      <c r="F229" s="20">
        <v>0.81</v>
      </c>
      <c r="G229" s="20">
        <v>0.06</v>
      </c>
      <c r="H229" s="20">
        <v>9.66</v>
      </c>
      <c r="I229" s="20">
        <v>0.12</v>
      </c>
      <c r="J229" s="20">
        <v>0.37</v>
      </c>
      <c r="K229" s="20">
        <v>0.03</v>
      </c>
      <c r="L229" s="20">
        <v>16.399999999999999</v>
      </c>
      <c r="M229" s="20">
        <v>0.11</v>
      </c>
      <c r="N229" s="20">
        <v>0.31</v>
      </c>
      <c r="O229" s="20">
        <v>0.01</v>
      </c>
      <c r="P229" s="20">
        <v>8.82</v>
      </c>
      <c r="Q229" s="20">
        <v>0.11</v>
      </c>
      <c r="R229" s="20">
        <v>6.15</v>
      </c>
      <c r="S229" s="20">
        <v>0.05</v>
      </c>
      <c r="T229" s="20">
        <v>2.89</v>
      </c>
      <c r="U229" s="20">
        <v>0.21</v>
      </c>
      <c r="V229" s="20">
        <v>0.39</v>
      </c>
      <c r="W229" s="20">
        <v>0.06</v>
      </c>
      <c r="X229" s="20">
        <v>0.86</v>
      </c>
      <c r="Y229" s="20">
        <v>7.0000000000000007E-2</v>
      </c>
      <c r="Z229" s="20">
        <v>6.24</v>
      </c>
      <c r="AA229" s="20">
        <v>0.08</v>
      </c>
      <c r="AB229" s="20">
        <v>0.62</v>
      </c>
      <c r="AC229" s="20">
        <v>0.01</v>
      </c>
    </row>
    <row r="230" spans="1:29" x14ac:dyDescent="0.25">
      <c r="A230" s="1">
        <f>COUNT(A9:A229)</f>
        <v>221</v>
      </c>
    </row>
    <row r="231" spans="1:29" x14ac:dyDescent="0.25"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 spans="1:29" x14ac:dyDescent="0.25"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</sheetData>
  <autoFilter ref="A8:AD230" xr:uid="{4786BE7B-78EF-4A37-AAFE-A9C860159FA4}">
    <sortState xmlns:xlrd2="http://schemas.microsoft.com/office/spreadsheetml/2017/richdata2" ref="A9:AD229">
      <sortCondition ref="A8:A229"/>
    </sortState>
  </autoFilter>
  <mergeCells count="1">
    <mergeCell ref="A2:B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3F88-BAE8-4819-ADB2-E054C96E1600}">
  <dimension ref="A1:AD31"/>
  <sheetViews>
    <sheetView topLeftCell="A5" zoomScale="85" zoomScaleNormal="85" workbookViewId="0">
      <selection activeCell="J35" sqref="J35"/>
    </sheetView>
  </sheetViews>
  <sheetFormatPr defaultRowHeight="15" x14ac:dyDescent="0.25"/>
  <cols>
    <col min="4" max="4" width="11.5703125" customWidth="1"/>
  </cols>
  <sheetData>
    <row r="1" spans="1:30" x14ac:dyDescent="0.25">
      <c r="A1" s="25"/>
      <c r="B1" s="25"/>
      <c r="C1" s="25"/>
      <c r="D1" s="25" t="s">
        <v>1293</v>
      </c>
      <c r="E1" s="8">
        <f>AVERAGE(E15:E19)</f>
        <v>49.7</v>
      </c>
      <c r="F1" s="8">
        <f>_xlfn.STDEV.S(E15:E19)</f>
        <v>3.3518651524188727</v>
      </c>
      <c r="G1" s="8">
        <f>AVERAGE(G15:G19)</f>
        <v>0.64</v>
      </c>
      <c r="H1" s="8">
        <f>_xlfn.STDEV.S(G15:G19)</f>
        <v>8.9442719099990381E-2</v>
      </c>
      <c r="I1" s="8">
        <f t="shared" ref="I1" si="0">AVERAGE(I15:I19)</f>
        <v>11.48</v>
      </c>
      <c r="J1" s="8">
        <f t="shared" ref="J1" si="1">_xlfn.STDEV.S(I15:I19)</f>
        <v>1.0663020210053065</v>
      </c>
      <c r="K1" s="8">
        <f t="shared" ref="K1" si="2">AVERAGE(K15:K19)</f>
        <v>0.08</v>
      </c>
      <c r="L1" s="8">
        <f t="shared" ref="L1" si="3">_xlfn.STDEV.S(K15:K19)</f>
        <v>4.4721359549995794E-2</v>
      </c>
      <c r="M1" s="8">
        <f t="shared" ref="M1" si="4">AVERAGE(M15:M19)</f>
        <v>17.22</v>
      </c>
      <c r="N1" s="8">
        <f t="shared" ref="N1" si="5">_xlfn.STDEV.S(M15:M19)</f>
        <v>1.0802777420645118</v>
      </c>
      <c r="O1" s="8">
        <f t="shared" ref="O1" si="6">AVERAGE(O15:O19)</f>
        <v>0.36</v>
      </c>
      <c r="P1" s="8">
        <f t="shared" ref="P1" si="7">_xlfn.STDEV.S(O15:O19)</f>
        <v>5.4772255750516891E-2</v>
      </c>
      <c r="Q1" s="8">
        <f t="shared" ref="Q1" si="8">AVERAGE(Q15:Q19)</f>
        <v>3.6599999999999993</v>
      </c>
      <c r="R1" s="8">
        <f t="shared" ref="R1" si="9">_xlfn.STDEV.S(Q15:Q19)</f>
        <v>1.0830512453249872</v>
      </c>
      <c r="S1" s="8">
        <f t="shared" ref="S1" si="10">AVERAGE(S15:S19)</f>
        <v>6.42</v>
      </c>
      <c r="T1" s="8">
        <f t="shared" ref="T1" si="11">_xlfn.STDEV.S(S15:S19)</f>
        <v>0.63796551630946308</v>
      </c>
      <c r="U1" s="8">
        <f t="shared" ref="U1" si="12">AVERAGE(U15:U19)</f>
        <v>4.0199999999999996</v>
      </c>
      <c r="V1" s="8">
        <f t="shared" ref="V1" si="13">_xlfn.STDEV.S(U15:U19)</f>
        <v>0.72938330115242123</v>
      </c>
      <c r="W1" s="8">
        <f t="shared" ref="W1" si="14">AVERAGE(W15:W19)</f>
        <v>0.88000000000000012</v>
      </c>
      <c r="X1" s="8">
        <f t="shared" ref="X1" si="15">_xlfn.STDEV.S(W15:W19)</f>
        <v>0.16431676725154956</v>
      </c>
      <c r="Y1" s="8">
        <f t="shared" ref="Y1" si="16">AVERAGE(Y15:Y19)</f>
        <v>0.54</v>
      </c>
      <c r="Z1" s="8">
        <f t="shared" ref="Z1" si="17">_xlfn.STDEV.S(Y15:Y19)</f>
        <v>0.11401754250991336</v>
      </c>
      <c r="AA1" s="8">
        <f t="shared" ref="AA1" si="18">AVERAGE(AA15:AA19)</f>
        <v>2.7800000000000002</v>
      </c>
      <c r="AB1" s="8">
        <f t="shared" ref="AB1" si="19">_xlfn.STDEV.S(AA15:AA19)</f>
        <v>1.0497618777608562</v>
      </c>
      <c r="AC1" s="8">
        <f t="shared" ref="AC1" si="20">AVERAGE(AC15:AC19)</f>
        <v>0.6</v>
      </c>
      <c r="AD1" s="8">
        <f t="shared" ref="AD1" si="21">_xlfn.STDEV.S(AC15:AC19)</f>
        <v>0.10000000000000005</v>
      </c>
    </row>
    <row r="2" spans="1:30" x14ac:dyDescent="0.25">
      <c r="A2" s="25"/>
      <c r="B2" s="25"/>
      <c r="C2" s="25"/>
      <c r="D2" s="25" t="s">
        <v>1295</v>
      </c>
      <c r="E2" s="8">
        <f>AVERAGE(E8:E14)</f>
        <v>42.1</v>
      </c>
      <c r="F2" s="8">
        <f>_xlfn.STDEV.S(E8:E14)</f>
        <v>1.4944341180973262</v>
      </c>
      <c r="G2" s="8">
        <f>AVERAGE(G8:G14)</f>
        <v>0.77142857142857135</v>
      </c>
      <c r="H2" s="8">
        <f>_xlfn.STDEV.S(G8:G14)</f>
        <v>0.12535663410560235</v>
      </c>
      <c r="I2" s="8">
        <f>AVERAGE(I8:I14)</f>
        <v>10.271428571428572</v>
      </c>
      <c r="J2" s="8">
        <f>_xlfn.STDEV.S(I8:I14)</f>
        <v>0.3545621041711674</v>
      </c>
      <c r="K2" s="8">
        <f>AVERAGE(K8:K14)</f>
        <v>0.3</v>
      </c>
      <c r="L2" s="8">
        <f>_xlfn.STDEV.S(K8:K14)</f>
        <v>0.12909944487358055</v>
      </c>
      <c r="M2" s="8">
        <f>AVERAGE(M8:M14)</f>
        <v>19.771042857142852</v>
      </c>
      <c r="N2" s="8">
        <f>_xlfn.STDEV.S(M8:M14)</f>
        <v>1.0948104491298065</v>
      </c>
      <c r="O2" s="8">
        <f>AVERAGE(O8:O14)</f>
        <v>0.31428571428571433</v>
      </c>
      <c r="P2" s="8">
        <f>_xlfn.STDEV.S(O8:O14)</f>
        <v>0.13451854182690984</v>
      </c>
      <c r="Q2" s="8">
        <f>AVERAGE(Q8:Q14)</f>
        <v>7.2857142857142856</v>
      </c>
      <c r="R2" s="8">
        <f>_xlfn.STDEV.S(Q8:Q14)</f>
        <v>0.86299588919177439</v>
      </c>
      <c r="S2" s="8">
        <f>AVERAGE(S8:S14)</f>
        <v>6.1142857142857139</v>
      </c>
      <c r="T2" s="8">
        <f>_xlfn.STDEV.S(S8:S14)</f>
        <v>0.5047394424471946</v>
      </c>
      <c r="U2" s="8">
        <f>AVERAGE(U8:U14)</f>
        <v>2.8428571428571425</v>
      </c>
      <c r="V2" s="8">
        <f>_xlfn.STDEV.S(U8:U14)</f>
        <v>0.53184315625675327</v>
      </c>
      <c r="W2" s="8">
        <f>AVERAGE(W8:W14)</f>
        <v>0.58571428571428563</v>
      </c>
      <c r="X2" s="8">
        <f>_xlfn.STDEV.S(W8:W14)</f>
        <v>0.14638501094227996</v>
      </c>
      <c r="Y2" s="8">
        <f>AVERAGE(Y8:Y14)</f>
        <v>0.74285714285714277</v>
      </c>
      <c r="Z2" s="8">
        <f>_xlfn.STDEV.S(Y8:Y14)</f>
        <v>0.24397501823713361</v>
      </c>
      <c r="AA2" s="8">
        <f>AVERAGE(AA8:AA14)</f>
        <v>6.0428571428571427</v>
      </c>
      <c r="AB2" s="8">
        <f>_xlfn.STDEV.S(AA8:AA14)</f>
        <v>0.60237624692308611</v>
      </c>
      <c r="AC2" s="8">
        <f>AVERAGE(AC8:AC14)</f>
        <v>0.85714285714285698</v>
      </c>
      <c r="AD2" s="8">
        <f>_xlfn.STDEV.S(AC8:AC14)</f>
        <v>0.16183471874253896</v>
      </c>
    </row>
    <row r="3" spans="1:30" x14ac:dyDescent="0.25">
      <c r="A3" s="25"/>
      <c r="B3" s="25"/>
      <c r="C3" s="25"/>
      <c r="D3" s="25" t="s">
        <v>1280</v>
      </c>
      <c r="E3" s="8">
        <f>AVERAGE(E8:E199)</f>
        <v>46.570588235294125</v>
      </c>
      <c r="F3" s="8">
        <f>_xlfn.STDEV.S(E8:E195)</f>
        <v>4.6173267030125711</v>
      </c>
      <c r="G3" s="8">
        <f>AVERAGE(G8:G195)</f>
        <v>0.69411764705882339</v>
      </c>
      <c r="H3" s="8">
        <f>_xlfn.STDEV.S(G8:G195)</f>
        <v>0.1197423705048386</v>
      </c>
      <c r="I3" s="8">
        <f>AVERAGE(I8:I199)</f>
        <v>10.982352941176472</v>
      </c>
      <c r="J3" s="8">
        <f>_xlfn.STDEV.S(I8:I195)</f>
        <v>0.99576308309108341</v>
      </c>
      <c r="K3" s="8">
        <f>AVERAGE(K8:K195)</f>
        <v>0.17058823529411771</v>
      </c>
      <c r="L3" s="8">
        <f>_xlfn.STDEV.S(K8:K195)</f>
        <v>0.14037764192684374</v>
      </c>
      <c r="M3" s="8">
        <f>AVERAGE(M8:M19)</f>
        <v>18.708108333333332</v>
      </c>
      <c r="N3" s="8">
        <f>_xlfn.STDEV.S(M8:M19)</f>
        <v>1.6744279943031473</v>
      </c>
      <c r="O3" s="8">
        <f>AVERAGE(P8:P195)</f>
        <v>0.10000000000000002</v>
      </c>
      <c r="P3" s="8">
        <f>_xlfn.STDEV.S(P8:P195)</f>
        <v>1.4304896245381992E-17</v>
      </c>
      <c r="Q3" s="8">
        <f>AVERAGE(Q8:Q199)</f>
        <v>5.1529411764705886</v>
      </c>
      <c r="R3" s="8">
        <f>_xlfn.STDEV.S(R8:R195)</f>
        <v>0.47496129873297899</v>
      </c>
      <c r="S3" s="8">
        <f>AVERAGE(T8:T195)</f>
        <v>0.42352941176470593</v>
      </c>
      <c r="T3" s="8">
        <f>_xlfn.STDEV.S(T8:T195)</f>
        <v>9.7014250014532982E-2</v>
      </c>
      <c r="U3" s="8">
        <f>AVERAGE(V8:V199)</f>
        <v>0.8529411764705882</v>
      </c>
      <c r="V3" s="8">
        <f>_xlfn.STDEV.S(V8:V195)</f>
        <v>0.41999649858484489</v>
      </c>
      <c r="W3" s="8">
        <f>AVERAGE(X8:X195)</f>
        <v>8.3529411764705908E-2</v>
      </c>
      <c r="X3" s="8">
        <f>_xlfn.STDEV.S(X8:X195)</f>
        <v>2.3168183050950582E-2</v>
      </c>
      <c r="Y3" s="8">
        <f>AVERAGE(Z8:Z199)</f>
        <v>0.11764705882352947</v>
      </c>
      <c r="Z3" s="8">
        <f>_xlfn.STDEV.S(Z8:Z195)</f>
        <v>3.9295262399668705E-2</v>
      </c>
      <c r="AA3" s="8">
        <f>AVERAGE(AB8:AB195)</f>
        <v>0.8411764705882353</v>
      </c>
      <c r="AB3" s="8">
        <f>_xlfn.STDEV.S(AB8:AB195)</f>
        <v>0.36238588467511346</v>
      </c>
      <c r="AC3" s="8">
        <f>AVERAGE(AD8:AD199)</f>
        <v>0.15882352941176475</v>
      </c>
      <c r="AD3" s="8">
        <f>_xlfn.STDEV.S(AD8:AD195)</f>
        <v>6.1834694240084219E-2</v>
      </c>
    </row>
    <row r="4" spans="1:30" x14ac:dyDescent="0.25">
      <c r="A4" s="25"/>
      <c r="B4" s="25"/>
      <c r="C4" s="25"/>
      <c r="D4" s="25"/>
      <c r="E4" s="4" t="s">
        <v>53</v>
      </c>
      <c r="F4" s="4" t="s">
        <v>92</v>
      </c>
      <c r="G4" s="4" t="s">
        <v>54</v>
      </c>
      <c r="H4" s="4" t="s">
        <v>92</v>
      </c>
      <c r="I4" s="4" t="s">
        <v>55</v>
      </c>
      <c r="J4" s="4" t="s">
        <v>92</v>
      </c>
      <c r="K4" s="4" t="s">
        <v>56</v>
      </c>
      <c r="L4" s="4" t="s">
        <v>92</v>
      </c>
      <c r="M4" s="4" t="s">
        <v>82</v>
      </c>
      <c r="N4" s="4" t="s">
        <v>92</v>
      </c>
      <c r="O4" s="4" t="s">
        <v>57</v>
      </c>
      <c r="P4" s="4" t="s">
        <v>92</v>
      </c>
      <c r="Q4" s="4" t="s">
        <v>58</v>
      </c>
      <c r="R4" s="4" t="s">
        <v>92</v>
      </c>
      <c r="S4" s="4" t="s">
        <v>59</v>
      </c>
      <c r="T4" s="4" t="s">
        <v>92</v>
      </c>
      <c r="U4" s="4" t="s">
        <v>60</v>
      </c>
      <c r="V4" s="4" t="s">
        <v>92</v>
      </c>
      <c r="W4" s="4" t="s">
        <v>61</v>
      </c>
      <c r="X4" s="4" t="s">
        <v>92</v>
      </c>
      <c r="Y4" s="4" t="s">
        <v>62</v>
      </c>
      <c r="Z4" s="4" t="s">
        <v>92</v>
      </c>
      <c r="AA4" s="4" t="s">
        <v>63</v>
      </c>
      <c r="AB4" s="4" t="s">
        <v>92</v>
      </c>
      <c r="AC4" s="4" t="s">
        <v>64</v>
      </c>
      <c r="AD4" s="4" t="s">
        <v>92</v>
      </c>
    </row>
    <row r="5" spans="1:30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spans="1:30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spans="1:30" x14ac:dyDescent="0.25">
      <c r="A7" s="4" t="s">
        <v>0</v>
      </c>
      <c r="B7" s="4" t="s">
        <v>2</v>
      </c>
      <c r="C7" s="4" t="s">
        <v>1271</v>
      </c>
      <c r="D7" s="4" t="s">
        <v>98</v>
      </c>
      <c r="E7" s="4" t="s">
        <v>53</v>
      </c>
      <c r="F7" s="4" t="s">
        <v>99</v>
      </c>
      <c r="G7" s="4" t="s">
        <v>54</v>
      </c>
      <c r="H7" s="4" t="s">
        <v>100</v>
      </c>
      <c r="I7" s="4" t="s">
        <v>55</v>
      </c>
      <c r="J7" s="4" t="s">
        <v>101</v>
      </c>
      <c r="K7" s="4" t="s">
        <v>56</v>
      </c>
      <c r="L7" s="4" t="s">
        <v>102</v>
      </c>
      <c r="M7" s="4" t="s">
        <v>82</v>
      </c>
      <c r="N7" s="4" t="s">
        <v>103</v>
      </c>
      <c r="O7" s="4" t="s">
        <v>57</v>
      </c>
      <c r="P7" s="4" t="s">
        <v>104</v>
      </c>
      <c r="Q7" s="4" t="s">
        <v>58</v>
      </c>
      <c r="R7" s="4" t="s">
        <v>105</v>
      </c>
      <c r="S7" s="4" t="s">
        <v>59</v>
      </c>
      <c r="T7" s="4" t="s">
        <v>106</v>
      </c>
      <c r="U7" s="4" t="s">
        <v>60</v>
      </c>
      <c r="V7" s="4" t="s">
        <v>107</v>
      </c>
      <c r="W7" s="4" t="s">
        <v>61</v>
      </c>
      <c r="X7" s="4" t="s">
        <v>108</v>
      </c>
      <c r="Y7" s="4" t="s">
        <v>62</v>
      </c>
      <c r="Z7" s="4" t="s">
        <v>109</v>
      </c>
      <c r="AA7" s="4" t="s">
        <v>63</v>
      </c>
      <c r="AB7" s="4" t="s">
        <v>110</v>
      </c>
      <c r="AC7" s="4" t="s">
        <v>64</v>
      </c>
      <c r="AD7" s="4" t="s">
        <v>111</v>
      </c>
    </row>
    <row r="8" spans="1:30" x14ac:dyDescent="0.25">
      <c r="A8" s="25">
        <v>2</v>
      </c>
      <c r="B8" s="25" t="s">
        <v>1280</v>
      </c>
      <c r="C8" s="25" t="s">
        <v>72</v>
      </c>
      <c r="D8" s="25" t="s">
        <v>87</v>
      </c>
      <c r="E8" s="25">
        <v>40.9</v>
      </c>
      <c r="F8" s="25">
        <v>0.8</v>
      </c>
      <c r="G8" s="25">
        <v>0.7</v>
      </c>
      <c r="H8" s="25">
        <v>0.2</v>
      </c>
      <c r="I8" s="25">
        <v>10.4</v>
      </c>
      <c r="J8" s="25">
        <v>0.8</v>
      </c>
      <c r="K8" s="25">
        <v>0.3</v>
      </c>
      <c r="L8" s="25">
        <v>0.1</v>
      </c>
      <c r="M8" s="25">
        <v>19.058800000000002</v>
      </c>
      <c r="N8" s="25">
        <v>0.9</v>
      </c>
      <c r="O8" s="25">
        <v>0.5</v>
      </c>
      <c r="P8" s="25">
        <v>0.1</v>
      </c>
      <c r="Q8" s="25">
        <v>8.6999999999999993</v>
      </c>
      <c r="R8" s="25">
        <v>2</v>
      </c>
      <c r="S8" s="25">
        <v>6.1</v>
      </c>
      <c r="T8" s="25">
        <v>0.4</v>
      </c>
      <c r="U8" s="25">
        <v>3.2</v>
      </c>
      <c r="V8" s="25">
        <v>0.7</v>
      </c>
      <c r="W8" s="25">
        <v>0.5</v>
      </c>
      <c r="X8" s="25">
        <v>0.04</v>
      </c>
      <c r="Y8" s="25">
        <v>0.9</v>
      </c>
      <c r="Z8" s="25">
        <v>0.2</v>
      </c>
      <c r="AA8" s="25">
        <v>6</v>
      </c>
      <c r="AB8" s="25">
        <v>1.2</v>
      </c>
      <c r="AC8" s="25">
        <v>0.7</v>
      </c>
      <c r="AD8" s="25">
        <v>0.2</v>
      </c>
    </row>
    <row r="9" spans="1:30" x14ac:dyDescent="0.25">
      <c r="A9" s="25">
        <v>4</v>
      </c>
      <c r="B9" s="25" t="s">
        <v>1280</v>
      </c>
      <c r="C9" s="25" t="s">
        <v>73</v>
      </c>
      <c r="D9" s="25" t="s">
        <v>66</v>
      </c>
      <c r="E9" s="25">
        <v>41</v>
      </c>
      <c r="F9" s="25">
        <v>0.9</v>
      </c>
      <c r="G9" s="25">
        <v>1</v>
      </c>
      <c r="H9" s="25">
        <v>0.3</v>
      </c>
      <c r="I9" s="25">
        <v>10.6</v>
      </c>
      <c r="J9" s="25">
        <v>0.8</v>
      </c>
      <c r="K9" s="25">
        <v>0.4</v>
      </c>
      <c r="L9" s="25">
        <v>0.1</v>
      </c>
      <c r="M9" s="25">
        <v>18.339600000000001</v>
      </c>
      <c r="N9" s="25">
        <v>0.8</v>
      </c>
      <c r="O9" s="25">
        <v>0.4</v>
      </c>
      <c r="P9" s="25">
        <v>0.1</v>
      </c>
      <c r="Q9" s="25">
        <v>8</v>
      </c>
      <c r="R9" s="25">
        <v>1.9</v>
      </c>
      <c r="S9" s="25">
        <v>5.6</v>
      </c>
      <c r="T9" s="25">
        <v>0.4</v>
      </c>
      <c r="U9" s="25">
        <v>3.2</v>
      </c>
      <c r="V9" s="25">
        <v>0.7</v>
      </c>
      <c r="W9" s="25">
        <v>0.5</v>
      </c>
      <c r="X9" s="25">
        <v>7.0000000000000007E-2</v>
      </c>
      <c r="Y9" s="25">
        <v>1.2</v>
      </c>
      <c r="Z9" s="25">
        <v>0.2</v>
      </c>
      <c r="AA9" s="25">
        <v>6.9</v>
      </c>
      <c r="AB9" s="25">
        <v>1.4</v>
      </c>
      <c r="AC9" s="25">
        <v>0.8</v>
      </c>
      <c r="AD9" s="25">
        <v>0.2</v>
      </c>
    </row>
    <row r="10" spans="1:30" x14ac:dyDescent="0.25">
      <c r="A10" s="25">
        <v>5</v>
      </c>
      <c r="B10" s="25" t="s">
        <v>1280</v>
      </c>
      <c r="C10" s="25" t="s">
        <v>74</v>
      </c>
      <c r="D10" s="25" t="s">
        <v>83</v>
      </c>
      <c r="E10" s="25">
        <v>41.7</v>
      </c>
      <c r="F10" s="25">
        <v>0.9</v>
      </c>
      <c r="G10" s="25">
        <v>0.6</v>
      </c>
      <c r="H10" s="25">
        <v>0.1</v>
      </c>
      <c r="I10" s="25">
        <v>10.6</v>
      </c>
      <c r="J10" s="25">
        <v>0.8</v>
      </c>
      <c r="K10" s="25">
        <v>0.5</v>
      </c>
      <c r="L10" s="25">
        <v>0.1</v>
      </c>
      <c r="M10" s="25">
        <v>19.598200000000002</v>
      </c>
      <c r="N10" s="25">
        <v>1</v>
      </c>
      <c r="O10" s="25">
        <v>0.2</v>
      </c>
      <c r="P10" s="25">
        <v>0.1</v>
      </c>
      <c r="Q10" s="25">
        <v>7.3</v>
      </c>
      <c r="R10" s="25">
        <v>1.6</v>
      </c>
      <c r="S10" s="25">
        <v>6.2</v>
      </c>
      <c r="T10" s="25">
        <v>0.4</v>
      </c>
      <c r="U10" s="25">
        <v>3.3</v>
      </c>
      <c r="V10" s="25">
        <v>0.7</v>
      </c>
      <c r="W10" s="25">
        <v>0.5</v>
      </c>
      <c r="X10" s="25">
        <v>0.05</v>
      </c>
      <c r="Y10" s="25">
        <v>0.6</v>
      </c>
      <c r="Z10" s="25">
        <v>0.1</v>
      </c>
      <c r="AA10" s="25">
        <v>5.8</v>
      </c>
      <c r="AB10" s="25">
        <v>1.1000000000000001</v>
      </c>
      <c r="AC10" s="25">
        <v>0.8</v>
      </c>
      <c r="AD10" s="25">
        <v>0.2</v>
      </c>
    </row>
    <row r="11" spans="1:30" x14ac:dyDescent="0.25">
      <c r="A11" s="25">
        <v>8</v>
      </c>
      <c r="B11" s="25" t="s">
        <v>1280</v>
      </c>
      <c r="C11" s="25" t="s">
        <v>1296</v>
      </c>
      <c r="D11" s="25" t="s">
        <v>1297</v>
      </c>
      <c r="E11" s="25">
        <v>45</v>
      </c>
      <c r="F11" s="25">
        <v>1</v>
      </c>
      <c r="G11" s="25">
        <v>0.7</v>
      </c>
      <c r="H11" s="25">
        <v>0.2</v>
      </c>
      <c r="I11" s="25">
        <v>10.5</v>
      </c>
      <c r="J11" s="25">
        <v>0.8</v>
      </c>
      <c r="K11" s="25">
        <v>0.1</v>
      </c>
      <c r="L11" s="25">
        <v>0.1</v>
      </c>
      <c r="M11" s="25">
        <v>19.100000000000001</v>
      </c>
      <c r="N11" s="25">
        <v>0.8</v>
      </c>
      <c r="O11" s="25">
        <v>0.3</v>
      </c>
      <c r="P11" s="25">
        <v>0.1</v>
      </c>
      <c r="Q11" s="25">
        <v>6.4</v>
      </c>
      <c r="R11" s="25">
        <v>1.5</v>
      </c>
      <c r="S11" s="25">
        <v>7</v>
      </c>
      <c r="T11" s="25">
        <v>0.5</v>
      </c>
      <c r="U11" s="25">
        <v>3.1</v>
      </c>
      <c r="V11" s="25">
        <v>0.8</v>
      </c>
      <c r="W11" s="25">
        <v>0.8</v>
      </c>
      <c r="X11" s="25">
        <v>0.06</v>
      </c>
      <c r="Y11" s="25">
        <v>0.5</v>
      </c>
      <c r="Z11" s="25">
        <v>0.1</v>
      </c>
      <c r="AA11" s="25">
        <v>5.5</v>
      </c>
      <c r="AB11" s="25">
        <v>1.1000000000000001</v>
      </c>
      <c r="AC11" s="25">
        <v>0.9</v>
      </c>
      <c r="AD11" s="25">
        <v>0.2</v>
      </c>
    </row>
    <row r="12" spans="1:30" x14ac:dyDescent="0.25">
      <c r="A12" s="25">
        <v>15</v>
      </c>
      <c r="B12" s="25" t="s">
        <v>1280</v>
      </c>
      <c r="C12" s="25" t="s">
        <v>89</v>
      </c>
      <c r="D12" s="25" t="s">
        <v>88</v>
      </c>
      <c r="E12" s="25">
        <v>41.7</v>
      </c>
      <c r="F12" s="25">
        <v>0.9</v>
      </c>
      <c r="G12" s="25">
        <v>0.8</v>
      </c>
      <c r="H12" s="25">
        <v>0.2</v>
      </c>
      <c r="I12" s="25">
        <v>10.199999999999999</v>
      </c>
      <c r="J12" s="25">
        <v>0.9</v>
      </c>
      <c r="K12" s="25">
        <v>0.2</v>
      </c>
      <c r="L12" s="25">
        <v>0.1</v>
      </c>
      <c r="M12" s="25">
        <v>19.957799999999999</v>
      </c>
      <c r="N12" s="25">
        <v>1</v>
      </c>
      <c r="O12" s="25">
        <v>0.1</v>
      </c>
      <c r="P12" s="25">
        <v>0.1</v>
      </c>
      <c r="Q12" s="25">
        <v>6.4</v>
      </c>
      <c r="R12" s="25">
        <v>1.6</v>
      </c>
      <c r="S12" s="25">
        <v>6.4</v>
      </c>
      <c r="T12" s="25">
        <v>0.5</v>
      </c>
      <c r="U12" s="25">
        <v>2.6</v>
      </c>
      <c r="V12" s="25">
        <v>2.4</v>
      </c>
      <c r="W12" s="25">
        <v>0.7</v>
      </c>
      <c r="X12" s="25">
        <v>0.09</v>
      </c>
      <c r="Y12" s="25">
        <v>0.8</v>
      </c>
      <c r="Z12" s="25">
        <v>0.2</v>
      </c>
      <c r="AA12" s="25">
        <v>6.6</v>
      </c>
      <c r="AB12" s="25">
        <v>1.4</v>
      </c>
      <c r="AC12" s="25">
        <v>1.2</v>
      </c>
      <c r="AD12" s="25">
        <v>0.3</v>
      </c>
    </row>
    <row r="13" spans="1:30" x14ac:dyDescent="0.25">
      <c r="A13" s="25">
        <v>20</v>
      </c>
      <c r="B13" s="25" t="s">
        <v>1280</v>
      </c>
      <c r="C13" s="25" t="s">
        <v>75</v>
      </c>
      <c r="D13" s="25" t="s">
        <v>84</v>
      </c>
      <c r="E13" s="25">
        <v>41.2</v>
      </c>
      <c r="F13" s="25">
        <v>0.9</v>
      </c>
      <c r="G13" s="25">
        <v>0.8</v>
      </c>
      <c r="H13" s="25">
        <v>0.2</v>
      </c>
      <c r="I13" s="25">
        <v>9.6999999999999993</v>
      </c>
      <c r="J13" s="25">
        <v>0.7</v>
      </c>
      <c r="K13" s="25">
        <v>0.3</v>
      </c>
      <c r="L13" s="25">
        <v>0.1</v>
      </c>
      <c r="M13" s="25">
        <v>21.4861</v>
      </c>
      <c r="N13" s="25">
        <v>1</v>
      </c>
      <c r="O13" s="25">
        <v>0.4</v>
      </c>
      <c r="P13" s="25">
        <v>0.1</v>
      </c>
      <c r="Q13" s="25">
        <v>7.5</v>
      </c>
      <c r="R13" s="25">
        <v>1.7</v>
      </c>
      <c r="S13" s="25">
        <v>6</v>
      </c>
      <c r="T13" s="25">
        <v>0.4</v>
      </c>
      <c r="U13" s="25">
        <v>1.8</v>
      </c>
      <c r="V13" s="25">
        <v>0.8</v>
      </c>
      <c r="W13" s="25">
        <v>0.4</v>
      </c>
      <c r="X13" s="25">
        <v>0.04</v>
      </c>
      <c r="Y13" s="25">
        <v>0.6</v>
      </c>
      <c r="Z13" s="25">
        <v>0.1</v>
      </c>
      <c r="AA13" s="25">
        <v>6.3</v>
      </c>
      <c r="AB13" s="25">
        <v>1.2</v>
      </c>
      <c r="AC13" s="25">
        <v>0.8</v>
      </c>
      <c r="AD13" s="25">
        <v>0.2</v>
      </c>
    </row>
    <row r="14" spans="1:30" x14ac:dyDescent="0.25">
      <c r="A14" s="25">
        <v>28</v>
      </c>
      <c r="B14" s="25" t="s">
        <v>1280</v>
      </c>
      <c r="C14" s="25" t="s">
        <v>76</v>
      </c>
      <c r="D14" s="25" t="s">
        <v>85</v>
      </c>
      <c r="E14" s="25">
        <v>43.2</v>
      </c>
      <c r="F14" s="25">
        <v>1</v>
      </c>
      <c r="G14" s="25">
        <v>0.8</v>
      </c>
      <c r="H14" s="25">
        <v>0.2</v>
      </c>
      <c r="I14" s="25">
        <v>9.9</v>
      </c>
      <c r="J14" s="25">
        <v>0.8</v>
      </c>
      <c r="K14" s="25">
        <v>0.3</v>
      </c>
      <c r="L14" s="25">
        <v>0.1</v>
      </c>
      <c r="M14" s="25">
        <v>20.8568</v>
      </c>
      <c r="N14" s="25">
        <v>1</v>
      </c>
      <c r="O14" s="25">
        <v>0.3</v>
      </c>
      <c r="P14" s="25">
        <v>0.1</v>
      </c>
      <c r="Q14" s="25">
        <v>6.7</v>
      </c>
      <c r="R14" s="25">
        <v>1.6</v>
      </c>
      <c r="S14" s="25">
        <v>5.5</v>
      </c>
      <c r="T14" s="25">
        <v>0.4</v>
      </c>
      <c r="U14" s="25">
        <v>2.7</v>
      </c>
      <c r="V14" s="25">
        <v>0.8</v>
      </c>
      <c r="W14" s="25">
        <v>0.7</v>
      </c>
      <c r="X14" s="25">
        <v>7.0000000000000007E-2</v>
      </c>
      <c r="Y14" s="25">
        <v>0.6</v>
      </c>
      <c r="Z14" s="25">
        <v>0.1</v>
      </c>
      <c r="AA14" s="25">
        <v>5.2</v>
      </c>
      <c r="AB14" s="25">
        <v>1.1000000000000001</v>
      </c>
      <c r="AC14" s="25">
        <v>0.8</v>
      </c>
      <c r="AD14" s="25">
        <v>0.2</v>
      </c>
    </row>
    <row r="15" spans="1:30" ht="15.75" customHeight="1" x14ac:dyDescent="0.25">
      <c r="A15" s="25">
        <v>3</v>
      </c>
      <c r="B15" s="25" t="s">
        <v>1281</v>
      </c>
      <c r="C15" s="25" t="s">
        <v>77</v>
      </c>
      <c r="D15" s="25" t="s">
        <v>86</v>
      </c>
      <c r="E15" s="25">
        <v>54.1</v>
      </c>
      <c r="F15" s="25">
        <v>1.1000000000000001</v>
      </c>
      <c r="G15" s="25">
        <v>0.6</v>
      </c>
      <c r="H15" s="25">
        <v>0.1</v>
      </c>
      <c r="I15" s="25">
        <v>12.8</v>
      </c>
      <c r="J15" s="25">
        <v>0.9</v>
      </c>
      <c r="K15" s="25">
        <v>0.1</v>
      </c>
      <c r="L15" s="25">
        <v>0.04</v>
      </c>
      <c r="M15" s="25">
        <v>16.7</v>
      </c>
      <c r="N15" s="25"/>
      <c r="O15" s="25">
        <v>0.3</v>
      </c>
      <c r="P15" s="25">
        <v>0.1</v>
      </c>
      <c r="Q15" s="25">
        <v>2.1</v>
      </c>
      <c r="R15" s="25">
        <v>0.5</v>
      </c>
      <c r="S15" s="25">
        <v>5.7</v>
      </c>
      <c r="T15" s="25">
        <v>0.4</v>
      </c>
      <c r="U15" s="25">
        <v>3.2</v>
      </c>
      <c r="V15" s="25">
        <v>0.5</v>
      </c>
      <c r="W15" s="25">
        <v>1.1000000000000001</v>
      </c>
      <c r="X15" s="25">
        <v>0.1</v>
      </c>
      <c r="Y15" s="25">
        <v>0.7</v>
      </c>
      <c r="Z15" s="25">
        <v>0.1</v>
      </c>
      <c r="AA15" s="25">
        <v>2</v>
      </c>
      <c r="AB15" s="25">
        <v>0.4</v>
      </c>
      <c r="AC15" s="25">
        <v>0.5</v>
      </c>
      <c r="AD15" s="25">
        <v>0.1</v>
      </c>
    </row>
    <row r="16" spans="1:30" x14ac:dyDescent="0.25">
      <c r="A16" s="25">
        <v>10</v>
      </c>
      <c r="B16" s="25" t="s">
        <v>1281</v>
      </c>
      <c r="C16" s="25" t="s">
        <v>78</v>
      </c>
      <c r="D16" s="25" t="s">
        <v>67</v>
      </c>
      <c r="E16" s="25">
        <v>45.7</v>
      </c>
      <c r="F16" s="25">
        <v>1</v>
      </c>
      <c r="G16" s="25">
        <v>0.7</v>
      </c>
      <c r="H16" s="25">
        <v>0.2</v>
      </c>
      <c r="I16" s="25">
        <v>10.8</v>
      </c>
      <c r="J16" s="25">
        <v>0.8</v>
      </c>
      <c r="K16" s="25">
        <v>0.1</v>
      </c>
      <c r="L16" s="25">
        <v>0.1</v>
      </c>
      <c r="M16" s="25">
        <v>17.100000000000001</v>
      </c>
      <c r="N16" s="25"/>
      <c r="O16" s="25">
        <v>0.4</v>
      </c>
      <c r="P16" s="25">
        <v>0.1</v>
      </c>
      <c r="Q16" s="25">
        <v>5.0999999999999996</v>
      </c>
      <c r="R16" s="25">
        <v>1.2</v>
      </c>
      <c r="S16" s="25">
        <v>6.3</v>
      </c>
      <c r="T16" s="25">
        <v>0.5</v>
      </c>
      <c r="U16" s="25">
        <v>4.7</v>
      </c>
      <c r="V16" s="25">
        <v>0.8</v>
      </c>
      <c r="W16" s="25">
        <v>0.7</v>
      </c>
      <c r="X16" s="25">
        <v>0.1</v>
      </c>
      <c r="Y16" s="25">
        <v>0.5</v>
      </c>
      <c r="Z16" s="25">
        <v>0.1</v>
      </c>
      <c r="AA16" s="25">
        <v>4.3</v>
      </c>
      <c r="AB16" s="25">
        <v>0.9</v>
      </c>
      <c r="AC16" s="25">
        <v>0.7</v>
      </c>
      <c r="AD16" s="25">
        <v>0.2</v>
      </c>
    </row>
    <row r="17" spans="1:30" x14ac:dyDescent="0.25">
      <c r="A17" s="25">
        <v>37</v>
      </c>
      <c r="B17" s="25" t="s">
        <v>1281</v>
      </c>
      <c r="C17" s="25" t="s">
        <v>79</v>
      </c>
      <c r="D17" s="25" t="s">
        <v>68</v>
      </c>
      <c r="E17" s="25">
        <v>47.2</v>
      </c>
      <c r="F17" s="25">
        <v>1</v>
      </c>
      <c r="G17" s="25">
        <v>0.7</v>
      </c>
      <c r="H17" s="25">
        <v>0.2</v>
      </c>
      <c r="I17" s="25">
        <v>11.3</v>
      </c>
      <c r="J17" s="25">
        <v>0.8</v>
      </c>
      <c r="K17" s="25">
        <v>0</v>
      </c>
      <c r="L17" s="25">
        <v>0.04</v>
      </c>
      <c r="M17" s="25">
        <v>18.600000000000001</v>
      </c>
      <c r="N17" s="25"/>
      <c r="O17" s="25">
        <v>0.3</v>
      </c>
      <c r="P17" s="25">
        <v>0.1</v>
      </c>
      <c r="Q17" s="25">
        <v>4</v>
      </c>
      <c r="R17" s="25">
        <v>0.9</v>
      </c>
      <c r="S17" s="25">
        <v>6.8</v>
      </c>
      <c r="T17" s="25">
        <v>0.5</v>
      </c>
      <c r="U17" s="25">
        <v>4.8</v>
      </c>
      <c r="V17" s="25">
        <v>1</v>
      </c>
      <c r="W17" s="25">
        <v>0.8</v>
      </c>
      <c r="X17" s="25">
        <v>0.1</v>
      </c>
      <c r="Y17" s="25">
        <v>0.5</v>
      </c>
      <c r="Z17" s="25">
        <v>0.1</v>
      </c>
      <c r="AA17" s="25">
        <v>3</v>
      </c>
      <c r="AB17" s="25">
        <v>0.6</v>
      </c>
      <c r="AC17" s="25">
        <v>0.6</v>
      </c>
      <c r="AD17" s="25">
        <v>0.1</v>
      </c>
    </row>
    <row r="18" spans="1:30" x14ac:dyDescent="0.25">
      <c r="A18" s="25">
        <v>52</v>
      </c>
      <c r="B18" s="25" t="s">
        <v>1281</v>
      </c>
      <c r="C18" s="25" t="s">
        <v>80</v>
      </c>
      <c r="D18" s="25" t="s">
        <v>69</v>
      </c>
      <c r="E18" s="25">
        <v>51.5</v>
      </c>
      <c r="F18" s="25">
        <v>1.2</v>
      </c>
      <c r="G18" s="25">
        <v>0.5</v>
      </c>
      <c r="H18" s="25">
        <v>0.2</v>
      </c>
      <c r="I18" s="25">
        <v>10.199999999999999</v>
      </c>
      <c r="J18" s="25">
        <v>0.8</v>
      </c>
      <c r="K18" s="25">
        <v>0.1</v>
      </c>
      <c r="L18" s="25">
        <v>0.1</v>
      </c>
      <c r="M18" s="25">
        <v>15.8</v>
      </c>
      <c r="N18" s="25"/>
      <c r="O18" s="25">
        <v>0.4</v>
      </c>
      <c r="P18" s="25">
        <v>0.1</v>
      </c>
      <c r="Q18" s="25">
        <v>3.7</v>
      </c>
      <c r="R18" s="25">
        <v>0.9</v>
      </c>
      <c r="S18" s="25">
        <v>7.3</v>
      </c>
      <c r="T18" s="25">
        <v>0.5</v>
      </c>
      <c r="U18" s="25">
        <v>3.4</v>
      </c>
      <c r="V18" s="25">
        <v>0.8</v>
      </c>
      <c r="W18" s="25">
        <v>0.8</v>
      </c>
      <c r="X18" s="25">
        <v>0.1</v>
      </c>
      <c r="Y18" s="25">
        <v>0.4</v>
      </c>
      <c r="Z18" s="25">
        <v>0.1</v>
      </c>
      <c r="AA18" s="25">
        <v>1.6</v>
      </c>
      <c r="AB18" s="25">
        <v>0.4</v>
      </c>
      <c r="AC18" s="25">
        <v>0.5</v>
      </c>
      <c r="AD18" s="25">
        <v>0.1</v>
      </c>
    </row>
    <row r="19" spans="1:30" x14ac:dyDescent="0.25">
      <c r="A19" s="25">
        <v>55</v>
      </c>
      <c r="B19" s="25" t="s">
        <v>1281</v>
      </c>
      <c r="C19" s="25" t="s">
        <v>81</v>
      </c>
      <c r="D19" s="25" t="s">
        <v>70</v>
      </c>
      <c r="E19" s="25">
        <v>50</v>
      </c>
      <c r="F19" s="25">
        <v>1.1000000000000001</v>
      </c>
      <c r="G19" s="25">
        <v>0.7</v>
      </c>
      <c r="H19" s="25">
        <v>0.2</v>
      </c>
      <c r="I19" s="25">
        <v>12.3</v>
      </c>
      <c r="J19" s="25">
        <v>0.9</v>
      </c>
      <c r="K19" s="25">
        <v>0.1</v>
      </c>
      <c r="L19" s="25">
        <v>0.1</v>
      </c>
      <c r="M19" s="25">
        <v>17.899999999999999</v>
      </c>
      <c r="N19" s="25"/>
      <c r="O19" s="25">
        <v>0.4</v>
      </c>
      <c r="P19" s="25">
        <v>0.1</v>
      </c>
      <c r="Q19" s="25">
        <v>3.4</v>
      </c>
      <c r="R19" s="25">
        <v>0.8</v>
      </c>
      <c r="S19" s="25">
        <v>6</v>
      </c>
      <c r="T19" s="25">
        <v>0.2</v>
      </c>
      <c r="U19" s="25">
        <v>4</v>
      </c>
      <c r="V19" s="25">
        <v>0.7</v>
      </c>
      <c r="W19" s="25">
        <v>1</v>
      </c>
      <c r="X19" s="25">
        <v>0.1</v>
      </c>
      <c r="Y19" s="25">
        <v>0.6</v>
      </c>
      <c r="Z19" s="25">
        <v>0.1</v>
      </c>
      <c r="AA19" s="25">
        <v>3</v>
      </c>
      <c r="AB19" s="25">
        <v>0.6</v>
      </c>
      <c r="AC19" s="25">
        <v>0.7</v>
      </c>
      <c r="AD19" s="25">
        <v>0.1</v>
      </c>
    </row>
    <row r="20" spans="1:30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spans="1:30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spans="1:30" x14ac:dyDescent="0.25">
      <c r="A22" s="25"/>
      <c r="B22" s="25"/>
      <c r="C22" s="25">
        <f>AVERAGE(E15:E19)</f>
        <v>49.7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</row>
    <row r="24" spans="1:30" x14ac:dyDescent="0.25">
      <c r="A24" s="4" t="s">
        <v>0</v>
      </c>
      <c r="B24" s="4" t="s">
        <v>2</v>
      </c>
      <c r="C24" s="4" t="s">
        <v>1271</v>
      </c>
      <c r="D24" s="4" t="s">
        <v>98</v>
      </c>
      <c r="E24" s="4" t="s">
        <v>53</v>
      </c>
      <c r="F24" s="4" t="s">
        <v>99</v>
      </c>
      <c r="G24" s="4" t="s">
        <v>54</v>
      </c>
      <c r="H24" s="4" t="s">
        <v>100</v>
      </c>
      <c r="I24" s="4" t="s">
        <v>55</v>
      </c>
      <c r="J24" s="4" t="s">
        <v>101</v>
      </c>
      <c r="K24" s="4" t="s">
        <v>56</v>
      </c>
      <c r="L24" s="4" t="s">
        <v>102</v>
      </c>
      <c r="M24" s="4" t="s">
        <v>82</v>
      </c>
      <c r="N24" s="4" t="s">
        <v>103</v>
      </c>
      <c r="O24" s="4" t="s">
        <v>57</v>
      </c>
      <c r="P24" s="4" t="s">
        <v>104</v>
      </c>
      <c r="Q24" s="4" t="s">
        <v>58</v>
      </c>
      <c r="R24" s="4" t="s">
        <v>105</v>
      </c>
      <c r="S24" s="4" t="s">
        <v>59</v>
      </c>
      <c r="T24" s="4" t="s">
        <v>106</v>
      </c>
      <c r="U24" s="4" t="s">
        <v>60</v>
      </c>
      <c r="V24" s="4" t="s">
        <v>107</v>
      </c>
      <c r="W24" s="4" t="s">
        <v>61</v>
      </c>
      <c r="X24" s="4" t="s">
        <v>108</v>
      </c>
      <c r="Y24" s="4" t="s">
        <v>62</v>
      </c>
      <c r="Z24" s="4" t="s">
        <v>109</v>
      </c>
      <c r="AA24" s="4" t="s">
        <v>63</v>
      </c>
      <c r="AB24" s="4" t="s">
        <v>110</v>
      </c>
      <c r="AC24" s="4" t="s">
        <v>64</v>
      </c>
      <c r="AD24" s="4" t="s">
        <v>111</v>
      </c>
    </row>
    <row r="25" spans="1:30" x14ac:dyDescent="0.25">
      <c r="A25" s="25">
        <v>3</v>
      </c>
      <c r="B25" s="25" t="s">
        <v>1281</v>
      </c>
      <c r="C25" s="25" t="s">
        <v>77</v>
      </c>
      <c r="D25" s="25" t="s">
        <v>86</v>
      </c>
      <c r="E25" s="25">
        <v>54.1</v>
      </c>
      <c r="F25" s="25">
        <v>1.1000000000000001</v>
      </c>
      <c r="G25" s="25">
        <v>0.6</v>
      </c>
      <c r="H25" s="25">
        <v>0.1</v>
      </c>
      <c r="I25" s="25">
        <v>12.8</v>
      </c>
      <c r="J25" s="25">
        <v>0.9</v>
      </c>
      <c r="K25" s="25">
        <v>0.1</v>
      </c>
      <c r="L25" s="25">
        <v>0.04</v>
      </c>
      <c r="M25" s="25">
        <v>16.7</v>
      </c>
      <c r="N25" s="25"/>
      <c r="O25" s="25">
        <v>0.3</v>
      </c>
      <c r="P25" s="25">
        <v>0.1</v>
      </c>
      <c r="Q25" s="25">
        <v>2.1</v>
      </c>
      <c r="R25" s="25">
        <v>0.5</v>
      </c>
      <c r="S25" s="25">
        <v>5.7</v>
      </c>
      <c r="T25" s="25">
        <v>0.4</v>
      </c>
      <c r="U25" s="25">
        <v>3.2</v>
      </c>
      <c r="V25" s="25">
        <v>0.5</v>
      </c>
      <c r="W25" s="25">
        <v>1.1000000000000001</v>
      </c>
      <c r="X25" s="25">
        <v>0.1</v>
      </c>
      <c r="Y25" s="25">
        <v>0.7</v>
      </c>
      <c r="Z25" s="25">
        <v>0.1</v>
      </c>
      <c r="AA25" s="25">
        <v>2</v>
      </c>
      <c r="AB25" s="25">
        <v>0.4</v>
      </c>
      <c r="AC25" s="25">
        <v>0.5</v>
      </c>
      <c r="AD25" s="25">
        <v>0.1</v>
      </c>
    </row>
    <row r="26" spans="1:30" x14ac:dyDescent="0.25">
      <c r="A26" s="25">
        <v>10</v>
      </c>
      <c r="B26" s="25" t="s">
        <v>1281</v>
      </c>
      <c r="C26" s="25" t="s">
        <v>78</v>
      </c>
      <c r="D26" s="25" t="s">
        <v>67</v>
      </c>
      <c r="E26" s="25">
        <v>45.7</v>
      </c>
      <c r="F26" s="25">
        <v>1</v>
      </c>
      <c r="G26" s="25">
        <v>0.7</v>
      </c>
      <c r="H26" s="25">
        <v>0.2</v>
      </c>
      <c r="I26" s="25">
        <v>10.8</v>
      </c>
      <c r="J26" s="25">
        <v>0.8</v>
      </c>
      <c r="K26" s="25">
        <v>0.1</v>
      </c>
      <c r="L26" s="25">
        <v>0.1</v>
      </c>
      <c r="M26" s="25">
        <v>17.100000000000001</v>
      </c>
      <c r="N26" s="25"/>
      <c r="O26" s="25">
        <v>0.4</v>
      </c>
      <c r="P26" s="25">
        <v>0.1</v>
      </c>
      <c r="Q26" s="25">
        <v>5.0999999999999996</v>
      </c>
      <c r="R26" s="25">
        <v>1.2</v>
      </c>
      <c r="S26" s="25">
        <v>6.3</v>
      </c>
      <c r="T26" s="25">
        <v>0.5</v>
      </c>
      <c r="U26" s="25">
        <v>4.7</v>
      </c>
      <c r="V26" s="25">
        <v>0.8</v>
      </c>
      <c r="W26" s="25">
        <v>0.7</v>
      </c>
      <c r="X26" s="25">
        <v>0.1</v>
      </c>
      <c r="Y26" s="25">
        <v>0.5</v>
      </c>
      <c r="Z26" s="25">
        <v>0.1</v>
      </c>
      <c r="AA26" s="25">
        <v>4.3</v>
      </c>
      <c r="AB26" s="25">
        <v>0.9</v>
      </c>
      <c r="AC26" s="25">
        <v>0.7</v>
      </c>
      <c r="AD26" s="25">
        <v>0.2</v>
      </c>
    </row>
    <row r="27" spans="1:30" x14ac:dyDescent="0.25">
      <c r="A27" s="25">
        <v>37</v>
      </c>
      <c r="B27" s="25" t="s">
        <v>1281</v>
      </c>
      <c r="C27" s="25" t="s">
        <v>79</v>
      </c>
      <c r="D27" s="25" t="s">
        <v>68</v>
      </c>
      <c r="E27" s="25">
        <v>47.2</v>
      </c>
      <c r="F27" s="25">
        <v>1</v>
      </c>
      <c r="G27" s="25">
        <v>0.7</v>
      </c>
      <c r="H27" s="25">
        <v>0.2</v>
      </c>
      <c r="I27" s="25">
        <v>11.3</v>
      </c>
      <c r="J27" s="25">
        <v>0.8</v>
      </c>
      <c r="K27" s="25">
        <v>0</v>
      </c>
      <c r="L27" s="25">
        <v>0.04</v>
      </c>
      <c r="M27" s="25">
        <v>18.600000000000001</v>
      </c>
      <c r="N27" s="25"/>
      <c r="O27" s="25">
        <v>0.3</v>
      </c>
      <c r="P27" s="25">
        <v>0.1</v>
      </c>
      <c r="Q27" s="25">
        <v>4</v>
      </c>
      <c r="R27" s="25">
        <v>0.9</v>
      </c>
      <c r="S27" s="25">
        <v>6.8</v>
      </c>
      <c r="T27" s="25">
        <v>0.5</v>
      </c>
      <c r="U27" s="25">
        <v>4.8</v>
      </c>
      <c r="V27" s="25">
        <v>1</v>
      </c>
      <c r="W27" s="25">
        <v>0.8</v>
      </c>
      <c r="X27" s="25">
        <v>0.1</v>
      </c>
      <c r="Y27" s="25">
        <v>0.5</v>
      </c>
      <c r="Z27" s="25">
        <v>0.1</v>
      </c>
      <c r="AA27" s="25">
        <v>3</v>
      </c>
      <c r="AB27" s="25">
        <v>0.6</v>
      </c>
      <c r="AC27" s="25">
        <v>0.6</v>
      </c>
      <c r="AD27" s="25">
        <v>0.1</v>
      </c>
    </row>
    <row r="28" spans="1:30" x14ac:dyDescent="0.25">
      <c r="A28" s="25">
        <v>52</v>
      </c>
      <c r="B28" s="25" t="s">
        <v>1281</v>
      </c>
      <c r="C28" s="25" t="s">
        <v>80</v>
      </c>
      <c r="D28" s="25" t="s">
        <v>69</v>
      </c>
      <c r="E28" s="25">
        <v>51.5</v>
      </c>
      <c r="F28" s="25">
        <v>1.2</v>
      </c>
      <c r="G28" s="25">
        <v>0.5</v>
      </c>
      <c r="H28" s="25">
        <v>0.2</v>
      </c>
      <c r="I28" s="25">
        <v>10.199999999999999</v>
      </c>
      <c r="J28" s="25">
        <v>0.8</v>
      </c>
      <c r="K28" s="25">
        <v>0.1</v>
      </c>
      <c r="L28" s="25">
        <v>0.1</v>
      </c>
      <c r="M28" s="25">
        <v>15.8</v>
      </c>
      <c r="N28" s="25"/>
      <c r="O28" s="25">
        <v>0.4</v>
      </c>
      <c r="P28" s="25">
        <v>0.1</v>
      </c>
      <c r="Q28" s="25">
        <v>3.7</v>
      </c>
      <c r="R28" s="25">
        <v>0.9</v>
      </c>
      <c r="S28" s="25">
        <v>7.3</v>
      </c>
      <c r="T28" s="25">
        <v>0.5</v>
      </c>
      <c r="U28" s="25">
        <v>3.4</v>
      </c>
      <c r="V28" s="25">
        <v>0.8</v>
      </c>
      <c r="W28" s="25">
        <v>0.8</v>
      </c>
      <c r="X28" s="25">
        <v>0.1</v>
      </c>
      <c r="Y28" s="25">
        <v>0.4</v>
      </c>
      <c r="Z28" s="25">
        <v>0.1</v>
      </c>
      <c r="AA28" s="25">
        <v>1.6</v>
      </c>
      <c r="AB28" s="25">
        <v>0.4</v>
      </c>
      <c r="AC28" s="25">
        <v>0.5</v>
      </c>
      <c r="AD28" s="25">
        <v>0.1</v>
      </c>
    </row>
    <row r="29" spans="1:30" x14ac:dyDescent="0.25">
      <c r="A29" s="25">
        <v>55</v>
      </c>
      <c r="B29" s="25" t="s">
        <v>1281</v>
      </c>
      <c r="C29" s="25" t="s">
        <v>81</v>
      </c>
      <c r="D29" s="25" t="s">
        <v>70</v>
      </c>
      <c r="E29" s="25">
        <v>50</v>
      </c>
      <c r="F29" s="25">
        <v>1.1000000000000001</v>
      </c>
      <c r="G29" s="25">
        <v>0.7</v>
      </c>
      <c r="H29" s="25">
        <v>0.2</v>
      </c>
      <c r="I29" s="25">
        <v>12.3</v>
      </c>
      <c r="J29" s="25">
        <v>0.9</v>
      </c>
      <c r="K29" s="25">
        <v>0.1</v>
      </c>
      <c r="L29" s="25">
        <v>0.1</v>
      </c>
      <c r="M29" s="25">
        <v>17.899999999999999</v>
      </c>
      <c r="N29" s="25"/>
      <c r="O29" s="25">
        <v>0.4</v>
      </c>
      <c r="P29" s="25">
        <v>0.1</v>
      </c>
      <c r="Q29" s="25">
        <v>3.4</v>
      </c>
      <c r="R29" s="25">
        <v>0.8</v>
      </c>
      <c r="S29" s="25">
        <v>6</v>
      </c>
      <c r="T29" s="25">
        <v>0.2</v>
      </c>
      <c r="U29" s="25">
        <v>4</v>
      </c>
      <c r="V29" s="25">
        <v>0.7</v>
      </c>
      <c r="W29" s="25">
        <v>1</v>
      </c>
      <c r="X29" s="25">
        <v>0.1</v>
      </c>
      <c r="Y29" s="25">
        <v>0.6</v>
      </c>
      <c r="Z29" s="25">
        <v>0.1</v>
      </c>
      <c r="AA29" s="25">
        <v>3</v>
      </c>
      <c r="AB29" s="25">
        <v>0.6</v>
      </c>
      <c r="AC29" s="25">
        <v>0.7</v>
      </c>
      <c r="AD29" s="25">
        <v>0.1</v>
      </c>
    </row>
    <row r="30" spans="1:30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</row>
    <row r="31" spans="1:30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BE44-F07D-4FEE-887F-BB533B3FA9BC}">
  <dimension ref="A1:AE20"/>
  <sheetViews>
    <sheetView tabSelected="1" zoomScale="80" zoomScaleNormal="80" workbookViewId="0">
      <selection activeCell="AA26" sqref="AA26"/>
    </sheetView>
  </sheetViews>
  <sheetFormatPr defaultRowHeight="15" x14ac:dyDescent="0.25"/>
  <cols>
    <col min="5" max="5" width="10.5703125" bestFit="1" customWidth="1"/>
  </cols>
  <sheetData>
    <row r="1" spans="1:31" x14ac:dyDescent="0.25">
      <c r="A1" t="s">
        <v>1282</v>
      </c>
    </row>
    <row r="2" spans="1:31" x14ac:dyDescent="0.25">
      <c r="D2" t="s">
        <v>1283</v>
      </c>
      <c r="E2" s="28">
        <f>AVERAGE(E7:E219)</f>
        <v>43.25</v>
      </c>
      <c r="F2" s="28">
        <f>_xlfn.STDEV.S(E7:E215)</f>
        <v>1.0350983390135313</v>
      </c>
      <c r="G2" s="28">
        <f>AVERAGE(G7:G215)</f>
        <v>0.63444444444444437</v>
      </c>
      <c r="H2" s="28">
        <f>_xlfn.STDEV.S(G7:G215)</f>
        <v>4.9525526527012087E-2</v>
      </c>
      <c r="I2" s="28">
        <f>AVERAGE(I7:I219)</f>
        <v>7.2375000000000007</v>
      </c>
      <c r="J2" s="28">
        <f>_xlfn.STDEV.S(I7:I215)</f>
        <v>0.2263846284534354</v>
      </c>
      <c r="K2" s="28"/>
      <c r="L2" s="28"/>
      <c r="M2" s="28"/>
      <c r="N2" s="28">
        <f>AVERAGE(N7:N15)</f>
        <v>16.201977777777778</v>
      </c>
      <c r="O2" s="28">
        <f>_xlfn.STDEV.S(N7:N15)</f>
        <v>0.64166463939073615</v>
      </c>
      <c r="P2" s="28"/>
      <c r="Q2" s="28"/>
      <c r="R2" s="28">
        <f>AVERAGE(R7:R219)</f>
        <v>6</v>
      </c>
      <c r="S2" s="28">
        <f>_xlfn.STDEV.S(R7:R215)</f>
        <v>0.7559289460184544</v>
      </c>
      <c r="T2" s="28">
        <f>AVERAGE(T7:T215)</f>
        <v>5.7444444444444436</v>
      </c>
      <c r="U2" s="28">
        <f>_xlfn.STDEV.S(T7:T215)</f>
        <v>0.2697735676039773</v>
      </c>
      <c r="V2" s="28"/>
      <c r="W2" s="28"/>
      <c r="X2" s="28">
        <f>AVERAGE(X7:X15)</f>
        <v>4.4444444444444444E-3</v>
      </c>
      <c r="Y2" s="28">
        <f>_xlfn.STDEV.S(X7:X215)</f>
        <v>1.3333333333333334E-2</v>
      </c>
      <c r="Z2" s="28"/>
      <c r="AA2" s="28"/>
      <c r="AB2" s="28">
        <f>AVERAGE(AB7:AB215)</f>
        <v>7.6375000000000002</v>
      </c>
      <c r="AC2" s="28">
        <f>_xlfn.STDEV.S(AB7:AB215)</f>
        <v>1.3298093311233956</v>
      </c>
      <c r="AD2" s="28">
        <f>AVERAGE(AD7:AD219)</f>
        <v>0.75624999999999998</v>
      </c>
      <c r="AE2" s="28">
        <f>_xlfn.STDEV.S(AD7:AD215)</f>
        <v>0.11160357137142658</v>
      </c>
    </row>
    <row r="3" spans="1:31" x14ac:dyDescent="0.25">
      <c r="E3" s="4" t="s">
        <v>53</v>
      </c>
      <c r="F3" s="4" t="s">
        <v>92</v>
      </c>
      <c r="G3" s="4" t="s">
        <v>54</v>
      </c>
      <c r="H3" s="4" t="s">
        <v>92</v>
      </c>
      <c r="I3" s="4" t="s">
        <v>55</v>
      </c>
      <c r="J3" s="4" t="s">
        <v>92</v>
      </c>
      <c r="K3" s="4" t="s">
        <v>56</v>
      </c>
      <c r="L3" s="4" t="s">
        <v>92</v>
      </c>
      <c r="M3" s="4" t="s">
        <v>1247</v>
      </c>
      <c r="N3" s="4" t="s">
        <v>82</v>
      </c>
      <c r="O3" s="4" t="s">
        <v>92</v>
      </c>
      <c r="P3" s="4" t="s">
        <v>57</v>
      </c>
      <c r="Q3" s="4" t="s">
        <v>92</v>
      </c>
      <c r="R3" s="4" t="s">
        <v>58</v>
      </c>
      <c r="S3" s="4" t="s">
        <v>92</v>
      </c>
      <c r="T3" s="4" t="s">
        <v>59</v>
      </c>
      <c r="U3" s="4" t="s">
        <v>92</v>
      </c>
      <c r="V3" s="4" t="s">
        <v>60</v>
      </c>
      <c r="W3" s="4" t="s">
        <v>92</v>
      </c>
      <c r="X3" s="4" t="s">
        <v>61</v>
      </c>
      <c r="Y3" s="4" t="s">
        <v>92</v>
      </c>
      <c r="Z3" s="4" t="s">
        <v>62</v>
      </c>
      <c r="AA3" s="4" t="s">
        <v>92</v>
      </c>
      <c r="AB3" s="4" t="s">
        <v>63</v>
      </c>
      <c r="AC3" s="4" t="s">
        <v>92</v>
      </c>
      <c r="AD3" s="4" t="s">
        <v>64</v>
      </c>
      <c r="AE3" s="4" t="s">
        <v>92</v>
      </c>
    </row>
    <row r="4" spans="1:31" x14ac:dyDescent="0.25">
      <c r="N4" s="21"/>
    </row>
    <row r="5" spans="1:31" x14ac:dyDescent="0.25">
      <c r="N5" s="21"/>
    </row>
    <row r="6" spans="1:31" x14ac:dyDescent="0.25">
      <c r="A6" s="4" t="s">
        <v>0</v>
      </c>
      <c r="B6" s="4" t="s">
        <v>2</v>
      </c>
      <c r="C6" s="4" t="s">
        <v>1271</v>
      </c>
      <c r="D6" s="4" t="s">
        <v>98</v>
      </c>
      <c r="E6" s="4" t="s">
        <v>53</v>
      </c>
      <c r="F6" s="4" t="s">
        <v>99</v>
      </c>
      <c r="G6" s="4" t="s">
        <v>54</v>
      </c>
      <c r="H6" s="4" t="s">
        <v>100</v>
      </c>
      <c r="I6" s="4" t="s">
        <v>55</v>
      </c>
      <c r="J6" s="4" t="s">
        <v>101</v>
      </c>
      <c r="K6" s="4" t="s">
        <v>56</v>
      </c>
      <c r="L6" s="4" t="s">
        <v>102</v>
      </c>
      <c r="M6" s="4" t="s">
        <v>1247</v>
      </c>
      <c r="N6" s="4" t="s">
        <v>82</v>
      </c>
      <c r="O6" s="4" t="s">
        <v>103</v>
      </c>
      <c r="P6" s="4" t="s">
        <v>57</v>
      </c>
      <c r="Q6" s="4" t="s">
        <v>104</v>
      </c>
      <c r="R6" s="4" t="s">
        <v>58</v>
      </c>
      <c r="S6" s="4" t="s">
        <v>105</v>
      </c>
      <c r="T6" s="4" t="s">
        <v>59</v>
      </c>
      <c r="U6" s="4" t="s">
        <v>106</v>
      </c>
      <c r="V6" s="4" t="s">
        <v>60</v>
      </c>
      <c r="W6" s="4" t="s">
        <v>107</v>
      </c>
      <c r="X6" s="4" t="s">
        <v>61</v>
      </c>
      <c r="Y6" s="4" t="s">
        <v>108</v>
      </c>
      <c r="Z6" s="4" t="s">
        <v>62</v>
      </c>
      <c r="AA6" s="4" t="s">
        <v>109</v>
      </c>
      <c r="AB6" s="4" t="s">
        <v>63</v>
      </c>
      <c r="AC6" s="4" t="s">
        <v>110</v>
      </c>
      <c r="AD6" s="4" t="s">
        <v>64</v>
      </c>
      <c r="AE6" s="4" t="s">
        <v>111</v>
      </c>
    </row>
    <row r="7" spans="1:31" x14ac:dyDescent="0.25">
      <c r="A7">
        <v>8</v>
      </c>
      <c r="C7" t="s">
        <v>1254</v>
      </c>
      <c r="E7" s="21">
        <v>43</v>
      </c>
      <c r="F7" s="21" t="s">
        <v>1272</v>
      </c>
      <c r="G7" s="21">
        <v>0.65</v>
      </c>
      <c r="H7" s="21" t="s">
        <v>1273</v>
      </c>
      <c r="I7" s="21">
        <v>7.5</v>
      </c>
      <c r="J7" s="21"/>
      <c r="K7" s="21" t="s">
        <v>1</v>
      </c>
      <c r="L7" s="21"/>
      <c r="M7" s="21">
        <v>17.600000000000001</v>
      </c>
      <c r="N7" s="21">
        <f t="shared" ref="N7:N15" si="0">M7*0.899</f>
        <v>15.822400000000002</v>
      </c>
      <c r="O7" s="21" t="s">
        <v>1274</v>
      </c>
      <c r="P7" s="21" t="s">
        <v>1</v>
      </c>
      <c r="Q7" s="21"/>
      <c r="R7" s="21">
        <v>6</v>
      </c>
      <c r="S7" s="21" t="s">
        <v>1275</v>
      </c>
      <c r="T7" s="21">
        <v>6</v>
      </c>
      <c r="U7" s="21" t="s">
        <v>1276</v>
      </c>
      <c r="V7" s="21" t="s">
        <v>1</v>
      </c>
      <c r="W7" s="21"/>
      <c r="X7" s="21">
        <v>0</v>
      </c>
      <c r="Y7" s="21" t="s">
        <v>1277</v>
      </c>
      <c r="Z7" s="21" t="s">
        <v>1</v>
      </c>
      <c r="AA7" s="21"/>
      <c r="AB7" s="21">
        <v>7</v>
      </c>
      <c r="AC7" s="21" t="s">
        <v>1278</v>
      </c>
      <c r="AD7" s="21">
        <v>0.7</v>
      </c>
      <c r="AE7" s="21" t="s">
        <v>1279</v>
      </c>
    </row>
    <row r="8" spans="1:31" x14ac:dyDescent="0.25">
      <c r="A8">
        <v>34</v>
      </c>
      <c r="C8" t="s">
        <v>1255</v>
      </c>
      <c r="E8" s="21">
        <v>42</v>
      </c>
      <c r="F8" s="21"/>
      <c r="G8" s="21">
        <v>0.56999999999999995</v>
      </c>
      <c r="H8" s="21"/>
      <c r="I8" s="21" t="s">
        <v>1</v>
      </c>
      <c r="J8" s="21"/>
      <c r="K8" s="21" t="s">
        <v>1</v>
      </c>
      <c r="L8" s="21"/>
      <c r="M8" s="21">
        <v>17.3</v>
      </c>
      <c r="N8" s="21">
        <f t="shared" si="0"/>
        <v>15.552700000000002</v>
      </c>
      <c r="O8" s="21"/>
      <c r="P8" s="21" t="s">
        <v>1</v>
      </c>
      <c r="Q8" s="21"/>
      <c r="R8" s="21" t="s">
        <v>1</v>
      </c>
      <c r="S8" s="21"/>
      <c r="T8" s="21">
        <v>5.5</v>
      </c>
      <c r="U8" s="21"/>
      <c r="V8" s="21" t="s">
        <v>1</v>
      </c>
      <c r="W8" s="21"/>
      <c r="X8" s="21">
        <v>0</v>
      </c>
      <c r="Y8" s="21"/>
      <c r="Z8" s="21" t="s">
        <v>1</v>
      </c>
      <c r="AA8" s="21"/>
      <c r="AB8" s="21">
        <v>9</v>
      </c>
      <c r="AC8" s="21"/>
      <c r="AD8" s="21">
        <v>0.7</v>
      </c>
      <c r="AE8" s="21"/>
    </row>
    <row r="9" spans="1:31" x14ac:dyDescent="0.25">
      <c r="A9" t="s">
        <v>1248</v>
      </c>
      <c r="C9" t="s">
        <v>1256</v>
      </c>
      <c r="E9" s="21">
        <v>42</v>
      </c>
      <c r="F9" s="21"/>
      <c r="G9" s="21">
        <v>0.6</v>
      </c>
      <c r="H9" s="21"/>
      <c r="I9" s="21">
        <v>6.9</v>
      </c>
      <c r="J9" s="21"/>
      <c r="K9" s="21" t="s">
        <v>1</v>
      </c>
      <c r="L9" s="21"/>
      <c r="M9" s="21">
        <v>17.399999999999999</v>
      </c>
      <c r="N9" s="21">
        <f t="shared" si="0"/>
        <v>15.6426</v>
      </c>
      <c r="O9" s="21"/>
      <c r="P9" s="21" t="s">
        <v>1</v>
      </c>
      <c r="Q9" s="21"/>
      <c r="R9" s="21">
        <v>7</v>
      </c>
      <c r="S9" s="21"/>
      <c r="T9" s="21">
        <v>5.6</v>
      </c>
      <c r="U9" s="21"/>
      <c r="V9" s="21" t="s">
        <v>1</v>
      </c>
      <c r="W9" s="21"/>
      <c r="X9" s="21">
        <v>0</v>
      </c>
      <c r="Y9" s="21"/>
      <c r="Z9" s="21" t="s">
        <v>1</v>
      </c>
      <c r="AA9" s="21"/>
      <c r="AB9" s="21">
        <v>9.5</v>
      </c>
      <c r="AC9" s="21"/>
      <c r="AD9" s="21">
        <v>0.9</v>
      </c>
      <c r="AE9" s="21"/>
    </row>
    <row r="10" spans="1:31" x14ac:dyDescent="0.25">
      <c r="A10" t="s">
        <v>1249</v>
      </c>
      <c r="C10" t="s">
        <v>1257</v>
      </c>
      <c r="E10" s="21">
        <v>44</v>
      </c>
      <c r="F10" s="21"/>
      <c r="G10" s="21">
        <v>0.61</v>
      </c>
      <c r="H10" s="21"/>
      <c r="I10" s="21">
        <v>7.3</v>
      </c>
      <c r="J10" s="21"/>
      <c r="K10" s="21" t="s">
        <v>1</v>
      </c>
      <c r="L10" s="21"/>
      <c r="M10" s="21">
        <v>17.3</v>
      </c>
      <c r="N10" s="21">
        <f t="shared" si="0"/>
        <v>15.552700000000002</v>
      </c>
      <c r="O10" s="21"/>
      <c r="P10" s="21" t="s">
        <v>1</v>
      </c>
      <c r="Q10" s="21"/>
      <c r="R10" s="21">
        <v>6</v>
      </c>
      <c r="S10" s="21"/>
      <c r="T10" s="21">
        <v>6</v>
      </c>
      <c r="U10" s="21"/>
      <c r="V10" s="21" t="s">
        <v>1</v>
      </c>
      <c r="W10" s="21"/>
      <c r="X10" s="21">
        <v>0.04</v>
      </c>
      <c r="Y10" s="21"/>
      <c r="Z10" s="21" t="s">
        <v>1</v>
      </c>
      <c r="AA10" s="21"/>
      <c r="AB10" s="21">
        <v>6.7</v>
      </c>
      <c r="AC10" s="21"/>
      <c r="AD10" s="21">
        <v>0.8</v>
      </c>
      <c r="AE10" s="21"/>
    </row>
    <row r="11" spans="1:31" x14ac:dyDescent="0.25">
      <c r="A11" t="s">
        <v>1250</v>
      </c>
      <c r="C11" t="s">
        <v>1258</v>
      </c>
      <c r="E11" s="21">
        <v>44</v>
      </c>
      <c r="F11" s="21"/>
      <c r="G11" s="21">
        <v>0.63</v>
      </c>
      <c r="H11" s="21"/>
      <c r="I11" s="21">
        <v>7.4</v>
      </c>
      <c r="J11" s="21"/>
      <c r="K11" s="21" t="s">
        <v>1</v>
      </c>
      <c r="L11" s="21"/>
      <c r="M11" s="21">
        <v>19</v>
      </c>
      <c r="N11" s="21">
        <f t="shared" si="0"/>
        <v>17.081</v>
      </c>
      <c r="O11" s="21"/>
      <c r="P11" s="21" t="s">
        <v>1</v>
      </c>
      <c r="Q11" s="21"/>
      <c r="R11" s="21">
        <v>5</v>
      </c>
      <c r="S11" s="21"/>
      <c r="T11" s="21">
        <v>6</v>
      </c>
      <c r="U11" s="21"/>
      <c r="V11" s="21" t="s">
        <v>1</v>
      </c>
      <c r="W11" s="21"/>
      <c r="X11" s="21">
        <v>0</v>
      </c>
      <c r="Y11" s="21"/>
      <c r="Z11" s="21" t="s">
        <v>1</v>
      </c>
      <c r="AA11" s="21"/>
      <c r="AB11" s="21">
        <v>6.8</v>
      </c>
      <c r="AC11" s="21"/>
      <c r="AD11" s="21">
        <v>0.6</v>
      </c>
      <c r="AE11" s="21"/>
    </row>
    <row r="12" spans="1:31" x14ac:dyDescent="0.25">
      <c r="A12" t="s">
        <v>1251</v>
      </c>
      <c r="C12" t="s">
        <v>1259</v>
      </c>
      <c r="E12" s="21">
        <v>43</v>
      </c>
      <c r="F12" s="21"/>
      <c r="G12" s="21">
        <v>0.71</v>
      </c>
      <c r="H12" s="21"/>
      <c r="I12" s="21">
        <v>7.1</v>
      </c>
      <c r="J12" s="21"/>
      <c r="K12" s="21" t="s">
        <v>1</v>
      </c>
      <c r="L12" s="21"/>
      <c r="M12" s="21">
        <v>18.8</v>
      </c>
      <c r="N12" s="21">
        <f t="shared" si="0"/>
        <v>16.901199999999999</v>
      </c>
      <c r="O12" s="21"/>
      <c r="P12" s="21" t="s">
        <v>1</v>
      </c>
      <c r="Q12" s="21"/>
      <c r="R12" s="21">
        <v>6</v>
      </c>
      <c r="S12" s="21"/>
      <c r="T12" s="21">
        <v>5.8</v>
      </c>
      <c r="U12" s="21"/>
      <c r="V12" s="21" t="s">
        <v>1</v>
      </c>
      <c r="W12" s="21"/>
      <c r="X12" s="21">
        <v>0</v>
      </c>
      <c r="Y12" s="21"/>
      <c r="Z12" s="21" t="s">
        <v>1</v>
      </c>
      <c r="AA12" s="21"/>
      <c r="AB12" s="21">
        <v>5.9</v>
      </c>
      <c r="AC12" s="21"/>
      <c r="AD12" s="21">
        <v>0.65</v>
      </c>
      <c r="AE12" s="21"/>
    </row>
    <row r="13" spans="1:31" x14ac:dyDescent="0.25">
      <c r="A13">
        <v>378</v>
      </c>
      <c r="C13" t="s">
        <v>1260</v>
      </c>
      <c r="E13" s="21">
        <v>45</v>
      </c>
      <c r="F13" s="21"/>
      <c r="G13" s="21">
        <v>0.71</v>
      </c>
      <c r="H13" s="21"/>
      <c r="I13" s="21">
        <v>7.5</v>
      </c>
      <c r="J13" s="21"/>
      <c r="K13" s="21" t="s">
        <v>1</v>
      </c>
      <c r="L13" s="21"/>
      <c r="M13" s="21">
        <v>18.899999999999999</v>
      </c>
      <c r="N13" s="21">
        <f t="shared" si="0"/>
        <v>16.991099999999999</v>
      </c>
      <c r="O13" s="21"/>
      <c r="P13" s="21" t="s">
        <v>1</v>
      </c>
      <c r="Q13" s="21"/>
      <c r="R13" s="21">
        <v>5</v>
      </c>
      <c r="S13" s="21"/>
      <c r="T13" s="21">
        <v>6</v>
      </c>
      <c r="U13" s="21"/>
      <c r="V13" s="21" t="s">
        <v>1</v>
      </c>
      <c r="W13" s="21"/>
      <c r="X13" s="21">
        <v>0</v>
      </c>
      <c r="Y13" s="21"/>
      <c r="Z13" s="21" t="s">
        <v>1</v>
      </c>
      <c r="AA13" s="21"/>
      <c r="AB13" s="21">
        <v>7.2</v>
      </c>
      <c r="AC13" s="21"/>
      <c r="AD13" s="21">
        <v>0.8</v>
      </c>
      <c r="AE13" s="21"/>
    </row>
    <row r="14" spans="1:31" x14ac:dyDescent="0.25">
      <c r="A14">
        <v>468</v>
      </c>
      <c r="C14" t="s">
        <v>1261</v>
      </c>
      <c r="E14" s="21" t="s">
        <v>1</v>
      </c>
      <c r="F14" s="21"/>
      <c r="G14" s="21">
        <v>0.64</v>
      </c>
      <c r="H14" s="21"/>
      <c r="I14" s="21">
        <v>7.2</v>
      </c>
      <c r="J14" s="21"/>
      <c r="K14" s="21" t="s">
        <v>1</v>
      </c>
      <c r="L14" s="21"/>
      <c r="M14" s="21">
        <v>17.7</v>
      </c>
      <c r="N14" s="21">
        <f t="shared" si="0"/>
        <v>15.9123</v>
      </c>
      <c r="O14" s="21"/>
      <c r="P14" s="21" t="s">
        <v>1</v>
      </c>
      <c r="Q14" s="21"/>
      <c r="R14" s="21">
        <v>6</v>
      </c>
      <c r="S14" s="21"/>
      <c r="T14" s="21">
        <v>5.4</v>
      </c>
      <c r="U14" s="21"/>
      <c r="V14" s="21" t="s">
        <v>1</v>
      </c>
      <c r="W14" s="21"/>
      <c r="X14" s="21">
        <v>0</v>
      </c>
      <c r="Y14" s="21"/>
      <c r="Z14" s="21" t="s">
        <v>1</v>
      </c>
      <c r="AA14" s="21"/>
      <c r="AB14" s="21" t="s">
        <v>1</v>
      </c>
      <c r="AC14" s="21"/>
      <c r="AD14" s="21" t="s">
        <v>1</v>
      </c>
      <c r="AE14" s="21"/>
    </row>
    <row r="15" spans="1:31" x14ac:dyDescent="0.25">
      <c r="A15">
        <v>581</v>
      </c>
      <c r="C15" t="s">
        <v>1262</v>
      </c>
      <c r="E15" s="21">
        <v>43</v>
      </c>
      <c r="F15" s="21"/>
      <c r="G15" s="21">
        <v>0.59</v>
      </c>
      <c r="H15" s="21"/>
      <c r="I15" s="21">
        <v>7</v>
      </c>
      <c r="J15" s="21"/>
      <c r="K15" s="21" t="s">
        <v>1</v>
      </c>
      <c r="L15" s="21"/>
      <c r="M15" s="21">
        <v>18.2</v>
      </c>
      <c r="N15" s="21">
        <f t="shared" si="0"/>
        <v>16.361799999999999</v>
      </c>
      <c r="O15" s="21"/>
      <c r="P15" s="21" t="s">
        <v>1</v>
      </c>
      <c r="Q15" s="21"/>
      <c r="R15" s="21">
        <v>7</v>
      </c>
      <c r="S15" s="21"/>
      <c r="T15" s="21">
        <v>5.4</v>
      </c>
      <c r="U15" s="21"/>
      <c r="V15" s="21" t="s">
        <v>1</v>
      </c>
      <c r="W15" s="21"/>
      <c r="X15" s="21">
        <v>0</v>
      </c>
      <c r="Y15" s="21"/>
      <c r="Z15" s="21" t="s">
        <v>1</v>
      </c>
      <c r="AA15" s="21"/>
      <c r="AB15" s="21">
        <v>9</v>
      </c>
      <c r="AC15" s="21"/>
      <c r="AD15" s="21">
        <v>0.9</v>
      </c>
      <c r="AE15" s="21"/>
    </row>
    <row r="16" spans="1:31" x14ac:dyDescent="0.25"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</row>
    <row r="17" spans="5:31" x14ac:dyDescent="0.25"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5:31" x14ac:dyDescent="0.25"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5:31" x14ac:dyDescent="0.25"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5:31" x14ac:dyDescent="0.25"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BDA65-D8B2-43B2-B597-AE50D04E67AE}">
  <dimension ref="A1:AE22"/>
  <sheetViews>
    <sheetView zoomScale="70" zoomScaleNormal="70" workbookViewId="0">
      <selection activeCell="K11" sqref="K11"/>
    </sheetView>
  </sheetViews>
  <sheetFormatPr defaultRowHeight="15" x14ac:dyDescent="0.25"/>
  <sheetData>
    <row r="1" spans="1:31" x14ac:dyDescent="0.25">
      <c r="A1" t="s">
        <v>1282</v>
      </c>
    </row>
    <row r="2" spans="1:31" x14ac:dyDescent="0.25">
      <c r="E2" s="20">
        <f>AVERAGE(E6:E216)</f>
        <v>42.625</v>
      </c>
      <c r="F2" s="20">
        <f>_xlfn.STDEV.S(E6:E212)</f>
        <v>1.0606601717798212</v>
      </c>
      <c r="G2" s="20">
        <f>AVERAGE(G6:G212)</f>
        <v>0.53625</v>
      </c>
      <c r="H2" s="20">
        <f>_xlfn.STDEV.S(G6:G212)</f>
        <v>7.6892782496148407E-2</v>
      </c>
      <c r="I2" s="20"/>
      <c r="J2" s="20"/>
      <c r="K2" s="20"/>
      <c r="L2" s="20"/>
      <c r="M2" s="20">
        <f>AVERAGE(M6:M15)</f>
        <v>17.514285714285712</v>
      </c>
      <c r="N2" s="20">
        <f>AVERAGE(N6:N25)</f>
        <v>15.747502857142859</v>
      </c>
      <c r="O2" s="20">
        <f>_xlfn.STDEV.S(M6:M212)</f>
        <v>0.87259874594716824</v>
      </c>
      <c r="P2" s="20"/>
      <c r="Q2" s="20"/>
      <c r="R2" s="20"/>
      <c r="S2" s="20"/>
      <c r="T2" s="20">
        <f>AVERAGE(T6:T212)</f>
        <v>5.6437499999999998</v>
      </c>
      <c r="U2" s="20">
        <f>_xlfn.STDEV.S(T6:T212)</f>
        <v>0.20948491251502721</v>
      </c>
      <c r="V2" s="20"/>
      <c r="W2" s="20"/>
      <c r="X2" s="20">
        <f>AVERAGE(X6:X212)</f>
        <v>6.2500000000000003E-3</v>
      </c>
      <c r="Y2" s="20">
        <f>_xlfn.STDEV.S(X6:X212)</f>
        <v>1.1877349391654206E-2</v>
      </c>
      <c r="Z2" s="20"/>
      <c r="AA2" s="20"/>
      <c r="AB2" s="20">
        <f>AVERAGE(AB6:AB212)</f>
        <v>8.0374999999999996</v>
      </c>
      <c r="AC2" s="20">
        <f>_xlfn.STDEV.S(AB6:AB212)</f>
        <v>0.34615231989895534</v>
      </c>
      <c r="AD2" s="20">
        <f>AVERAGE(AD6:AD216)</f>
        <v>0.4416666666666666</v>
      </c>
      <c r="AE2" s="20">
        <f>_xlfn.STDEV.S(AD6:AD212)</f>
        <v>0.13570801990548234</v>
      </c>
    </row>
    <row r="3" spans="1:31" x14ac:dyDescent="0.25">
      <c r="E3" s="4" t="s">
        <v>53</v>
      </c>
      <c r="F3" s="4" t="s">
        <v>92</v>
      </c>
      <c r="G3" s="4" t="s">
        <v>54</v>
      </c>
      <c r="H3" s="4" t="s">
        <v>92</v>
      </c>
      <c r="I3" s="4" t="s">
        <v>55</v>
      </c>
      <c r="J3" s="4" t="s">
        <v>92</v>
      </c>
      <c r="K3" s="4" t="s">
        <v>56</v>
      </c>
      <c r="L3" s="4" t="s">
        <v>92</v>
      </c>
      <c r="M3" s="4" t="s">
        <v>1247</v>
      </c>
      <c r="N3" s="4" t="s">
        <v>82</v>
      </c>
      <c r="O3" s="4" t="s">
        <v>92</v>
      </c>
      <c r="P3" s="4" t="s">
        <v>57</v>
      </c>
      <c r="Q3" s="4" t="s">
        <v>92</v>
      </c>
      <c r="R3" s="4" t="s">
        <v>58</v>
      </c>
      <c r="S3" s="4" t="s">
        <v>92</v>
      </c>
      <c r="T3" s="4" t="s">
        <v>59</v>
      </c>
      <c r="U3" s="4" t="s">
        <v>92</v>
      </c>
      <c r="V3" s="4" t="s">
        <v>60</v>
      </c>
      <c r="W3" s="4" t="s">
        <v>92</v>
      </c>
      <c r="X3" s="4" t="s">
        <v>61</v>
      </c>
      <c r="Y3" s="4" t="s">
        <v>92</v>
      </c>
      <c r="Z3" s="4" t="s">
        <v>62</v>
      </c>
      <c r="AA3" s="4" t="s">
        <v>92</v>
      </c>
      <c r="AB3" s="4" t="s">
        <v>63</v>
      </c>
      <c r="AC3" s="4" t="s">
        <v>92</v>
      </c>
      <c r="AD3" s="4" t="s">
        <v>64</v>
      </c>
      <c r="AE3" s="4" t="s">
        <v>92</v>
      </c>
    </row>
    <row r="4" spans="1:31" x14ac:dyDescent="0.25">
      <c r="M4" s="21"/>
    </row>
    <row r="5" spans="1:31" x14ac:dyDescent="0.25">
      <c r="A5" s="4" t="s">
        <v>0</v>
      </c>
      <c r="B5" s="4" t="s">
        <v>2</v>
      </c>
      <c r="C5" s="4" t="s">
        <v>71</v>
      </c>
      <c r="D5" s="4" t="s">
        <v>98</v>
      </c>
      <c r="E5" s="4" t="s">
        <v>53</v>
      </c>
      <c r="F5" s="4" t="s">
        <v>99</v>
      </c>
      <c r="G5" s="4" t="s">
        <v>54</v>
      </c>
      <c r="H5" s="4" t="s">
        <v>100</v>
      </c>
      <c r="I5" s="4" t="s">
        <v>55</v>
      </c>
      <c r="J5" s="4" t="s">
        <v>101</v>
      </c>
      <c r="K5" s="4" t="s">
        <v>56</v>
      </c>
      <c r="L5" s="4" t="s">
        <v>102</v>
      </c>
      <c r="M5" s="4" t="s">
        <v>1247</v>
      </c>
      <c r="N5" s="4" t="s">
        <v>82</v>
      </c>
      <c r="O5" s="4" t="s">
        <v>103</v>
      </c>
      <c r="P5" s="4" t="s">
        <v>57</v>
      </c>
      <c r="Q5" s="4" t="s">
        <v>104</v>
      </c>
      <c r="R5" s="4" t="s">
        <v>58</v>
      </c>
      <c r="S5" s="4" t="s">
        <v>105</v>
      </c>
      <c r="T5" s="4" t="s">
        <v>59</v>
      </c>
      <c r="U5" s="4" t="s">
        <v>106</v>
      </c>
      <c r="V5" s="4" t="s">
        <v>60</v>
      </c>
      <c r="W5" s="4" t="s">
        <v>107</v>
      </c>
      <c r="X5" s="4" t="s">
        <v>61</v>
      </c>
      <c r="Y5" s="4" t="s">
        <v>108</v>
      </c>
      <c r="Z5" s="4" t="s">
        <v>62</v>
      </c>
      <c r="AA5" s="4" t="s">
        <v>109</v>
      </c>
      <c r="AB5" s="4" t="s">
        <v>63</v>
      </c>
      <c r="AC5" s="4" t="s">
        <v>110</v>
      </c>
      <c r="AD5" s="4" t="s">
        <v>64</v>
      </c>
      <c r="AE5" s="4" t="s">
        <v>111</v>
      </c>
    </row>
    <row r="6" spans="1:31" x14ac:dyDescent="0.25">
      <c r="A6" s="18" t="s">
        <v>1252</v>
      </c>
      <c r="B6" t="s">
        <v>1263</v>
      </c>
      <c r="E6">
        <v>42</v>
      </c>
      <c r="F6" s="22" t="s">
        <v>1272</v>
      </c>
      <c r="G6" s="22">
        <v>0.6</v>
      </c>
      <c r="H6" s="22" t="s">
        <v>1273</v>
      </c>
      <c r="I6" s="22"/>
      <c r="J6" s="22"/>
      <c r="K6" s="22"/>
      <c r="L6" s="22"/>
      <c r="M6" s="22">
        <v>18.899999999999999</v>
      </c>
      <c r="N6" s="22">
        <f>M6*0.8998</f>
        <v>17.006219999999999</v>
      </c>
      <c r="O6" s="22" t="s">
        <v>1274</v>
      </c>
      <c r="P6" s="22"/>
      <c r="Q6" s="22"/>
      <c r="R6" s="22"/>
      <c r="S6" s="22"/>
      <c r="T6" s="22">
        <v>5.8</v>
      </c>
      <c r="U6" s="22" t="s">
        <v>1276</v>
      </c>
      <c r="V6" s="22"/>
      <c r="W6" s="22"/>
      <c r="X6" s="22">
        <v>0.03</v>
      </c>
      <c r="Y6" s="22" t="s">
        <v>1277</v>
      </c>
      <c r="Z6" s="22"/>
      <c r="AA6" s="22"/>
      <c r="AB6" s="22">
        <v>8.4</v>
      </c>
      <c r="AC6" s="22" t="s">
        <v>1278</v>
      </c>
      <c r="AD6" s="22">
        <v>0.3</v>
      </c>
      <c r="AE6" s="22" t="s">
        <v>1279</v>
      </c>
    </row>
    <row r="7" spans="1:31" x14ac:dyDescent="0.25">
      <c r="A7" s="18">
        <v>131</v>
      </c>
      <c r="B7" t="s">
        <v>1264</v>
      </c>
      <c r="E7">
        <v>43</v>
      </c>
      <c r="F7" s="22"/>
      <c r="G7" s="22">
        <v>0.63</v>
      </c>
      <c r="H7" s="22"/>
      <c r="I7" s="22"/>
      <c r="J7" s="22"/>
      <c r="K7" s="22"/>
      <c r="L7" s="22"/>
      <c r="M7" s="22">
        <v>17.600000000000001</v>
      </c>
      <c r="N7" s="22">
        <f t="shared" ref="N7:N12" si="0">M7*0.899</f>
        <v>15.822400000000002</v>
      </c>
      <c r="O7" s="22"/>
      <c r="P7" s="22"/>
      <c r="Q7" s="22"/>
      <c r="R7" s="22"/>
      <c r="S7" s="22"/>
      <c r="T7" s="22">
        <v>5.8</v>
      </c>
      <c r="U7" s="22"/>
      <c r="V7" s="22"/>
      <c r="W7" s="22"/>
      <c r="X7" s="22">
        <v>0.02</v>
      </c>
      <c r="Y7" s="22"/>
      <c r="Z7" s="22"/>
      <c r="AA7" s="22"/>
      <c r="AB7" s="22">
        <v>8.1</v>
      </c>
      <c r="AC7" s="22"/>
      <c r="AD7" s="22">
        <v>0.6</v>
      </c>
      <c r="AE7" s="22"/>
    </row>
    <row r="8" spans="1:31" x14ac:dyDescent="0.25">
      <c r="A8" s="18">
        <v>161</v>
      </c>
      <c r="B8" t="s">
        <v>1265</v>
      </c>
      <c r="E8">
        <v>44</v>
      </c>
      <c r="F8" s="22"/>
      <c r="G8" s="22">
        <v>0.64</v>
      </c>
      <c r="H8" s="22"/>
      <c r="I8" s="22"/>
      <c r="J8" s="22"/>
      <c r="K8" s="22"/>
      <c r="L8" s="22"/>
      <c r="M8" s="22">
        <v>18.3</v>
      </c>
      <c r="N8" s="22">
        <f>M8*0.899</f>
        <v>16.451700000000002</v>
      </c>
      <c r="O8" s="22"/>
      <c r="P8" s="22"/>
      <c r="Q8" s="22"/>
      <c r="R8" s="22"/>
      <c r="S8" s="22"/>
      <c r="T8" s="22">
        <v>5.95</v>
      </c>
      <c r="U8" s="22"/>
      <c r="V8" s="22"/>
      <c r="W8" s="22"/>
      <c r="X8" s="22">
        <v>0</v>
      </c>
      <c r="Y8" s="22"/>
      <c r="Z8" s="22"/>
      <c r="AA8" s="22"/>
      <c r="AB8" s="22">
        <v>7.6</v>
      </c>
      <c r="AC8" s="22"/>
      <c r="AD8" s="22"/>
      <c r="AE8" s="22"/>
    </row>
    <row r="9" spans="1:31" x14ac:dyDescent="0.25">
      <c r="A9" s="18">
        <v>185</v>
      </c>
      <c r="B9" t="s">
        <v>1266</v>
      </c>
      <c r="E9">
        <v>44</v>
      </c>
      <c r="F9" s="22"/>
      <c r="G9" s="22">
        <v>0.52</v>
      </c>
      <c r="H9" s="22"/>
      <c r="I9" s="22"/>
      <c r="J9" s="22"/>
      <c r="K9" s="22"/>
      <c r="L9" s="22"/>
      <c r="M9" s="22">
        <v>16.899999999999999</v>
      </c>
      <c r="N9" s="22">
        <f t="shared" si="0"/>
        <v>15.193099999999999</v>
      </c>
      <c r="O9" s="22"/>
      <c r="P9" s="22"/>
      <c r="Q9" s="22"/>
      <c r="R9" s="22"/>
      <c r="S9" s="22"/>
      <c r="T9" s="22">
        <v>5.7</v>
      </c>
      <c r="U9" s="22"/>
      <c r="V9" s="22"/>
      <c r="W9" s="22"/>
      <c r="X9" s="22">
        <v>0</v>
      </c>
      <c r="Y9" s="22"/>
      <c r="Z9" s="22"/>
      <c r="AA9" s="22"/>
      <c r="AB9" s="22">
        <v>7.9</v>
      </c>
      <c r="AC9" s="22"/>
      <c r="AD9" s="22">
        <v>0.45</v>
      </c>
      <c r="AE9" s="22"/>
    </row>
    <row r="10" spans="1:31" x14ac:dyDescent="0.25">
      <c r="A10" s="18">
        <v>388</v>
      </c>
      <c r="B10" t="s">
        <v>1267</v>
      </c>
      <c r="E10">
        <v>43</v>
      </c>
      <c r="F10" s="22"/>
      <c r="G10" s="22">
        <v>0.44</v>
      </c>
      <c r="H10" s="22"/>
      <c r="I10" s="22"/>
      <c r="J10" s="22"/>
      <c r="K10" s="22"/>
      <c r="L10" s="22"/>
      <c r="M10" s="22">
        <v>16.3</v>
      </c>
      <c r="N10" s="22">
        <f t="shared" si="0"/>
        <v>14.653700000000001</v>
      </c>
      <c r="O10" s="22"/>
      <c r="P10" s="22"/>
      <c r="Q10" s="22"/>
      <c r="R10" s="22"/>
      <c r="S10" s="22"/>
      <c r="T10" s="22">
        <v>5.3</v>
      </c>
      <c r="U10" s="22"/>
      <c r="V10" s="22"/>
      <c r="W10" s="22"/>
      <c r="X10" s="22">
        <v>0</v>
      </c>
      <c r="Y10" s="22"/>
      <c r="Z10" s="22"/>
      <c r="AA10" s="22"/>
      <c r="AB10" s="22">
        <v>8.3000000000000007</v>
      </c>
      <c r="AC10" s="22"/>
      <c r="AD10" s="22">
        <v>0.6</v>
      </c>
      <c r="AE10" s="22"/>
    </row>
    <row r="11" spans="1:31" x14ac:dyDescent="0.25">
      <c r="A11" s="18">
        <v>417</v>
      </c>
      <c r="B11" t="s">
        <v>1268</v>
      </c>
      <c r="E11">
        <v>42</v>
      </c>
      <c r="F11" s="22"/>
      <c r="G11" s="22">
        <v>0.48</v>
      </c>
      <c r="H11" s="22"/>
      <c r="I11" s="22"/>
      <c r="J11" s="22"/>
      <c r="K11" s="22"/>
      <c r="L11" s="22"/>
      <c r="M11" s="22">
        <v>17.100000000000001</v>
      </c>
      <c r="N11" s="22">
        <f t="shared" si="0"/>
        <v>15.372900000000001</v>
      </c>
      <c r="O11" s="22"/>
      <c r="P11" s="22"/>
      <c r="Q11" s="22"/>
      <c r="R11" s="22"/>
      <c r="S11" s="22"/>
      <c r="T11" s="22">
        <v>5.5</v>
      </c>
      <c r="U11" s="22"/>
      <c r="V11" s="22"/>
      <c r="W11" s="22"/>
      <c r="X11" s="22">
        <v>0</v>
      </c>
      <c r="Y11" s="22"/>
      <c r="Z11" s="22"/>
      <c r="AA11" s="22"/>
      <c r="AB11" s="22">
        <v>7.9</v>
      </c>
      <c r="AC11" s="22"/>
      <c r="AD11" s="22">
        <v>0.3</v>
      </c>
      <c r="AE11" s="22"/>
    </row>
    <row r="12" spans="1:31" x14ac:dyDescent="0.25">
      <c r="A12" s="18">
        <v>442</v>
      </c>
      <c r="B12" t="s">
        <v>1269</v>
      </c>
      <c r="E12">
        <v>42</v>
      </c>
      <c r="F12" s="22"/>
      <c r="G12" s="22">
        <v>0.51</v>
      </c>
      <c r="H12" s="22"/>
      <c r="I12" s="22"/>
      <c r="J12" s="22"/>
      <c r="K12" s="22"/>
      <c r="L12" s="22"/>
      <c r="M12" s="22">
        <v>17.5</v>
      </c>
      <c r="N12" s="22">
        <f t="shared" si="0"/>
        <v>15.7325</v>
      </c>
      <c r="O12" s="22"/>
      <c r="P12" s="22"/>
      <c r="Q12" s="22"/>
      <c r="R12" s="22"/>
      <c r="S12" s="22"/>
      <c r="T12" s="22">
        <v>5.5</v>
      </c>
      <c r="U12" s="22"/>
      <c r="V12" s="22"/>
      <c r="W12" s="22"/>
      <c r="X12" s="22">
        <v>0</v>
      </c>
      <c r="Y12" s="22"/>
      <c r="Z12" s="22"/>
      <c r="AA12" s="22"/>
      <c r="AB12" s="22">
        <v>7.6</v>
      </c>
      <c r="AC12" s="22"/>
      <c r="AD12" s="22">
        <v>0.4</v>
      </c>
      <c r="AE12" s="22"/>
    </row>
    <row r="13" spans="1:31" x14ac:dyDescent="0.25">
      <c r="A13" s="18" t="s">
        <v>1253</v>
      </c>
      <c r="B13" t="s">
        <v>1270</v>
      </c>
      <c r="E13">
        <v>41</v>
      </c>
      <c r="F13" s="22"/>
      <c r="G13" s="22">
        <v>0.47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>
        <v>5.6</v>
      </c>
      <c r="U13" s="22"/>
      <c r="V13" s="22"/>
      <c r="W13" s="22"/>
      <c r="X13" s="22">
        <v>0</v>
      </c>
      <c r="Y13" s="22"/>
      <c r="Z13" s="22"/>
      <c r="AA13" s="22"/>
      <c r="AB13" s="22">
        <v>8.5</v>
      </c>
      <c r="AC13" s="22"/>
      <c r="AD13" s="22"/>
      <c r="AE13" s="22"/>
    </row>
    <row r="14" spans="1:31" x14ac:dyDescent="0.25"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x14ac:dyDescent="0.25"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x14ac:dyDescent="0.25"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6:31" x14ac:dyDescent="0.25"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6:31" x14ac:dyDescent="0.25"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6:31" x14ac:dyDescent="0.25"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6:31" x14ac:dyDescent="0.25"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6:31" x14ac:dyDescent="0.25"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6:31" x14ac:dyDescent="0.25"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Curiosity - Gale</vt:lpstr>
      <vt:lpstr>Opportunity - Meridiani</vt:lpstr>
      <vt:lpstr>Spirit - Gusev</vt:lpstr>
      <vt:lpstr>Pathfinder - Ares Vallis</vt:lpstr>
      <vt:lpstr>Viking 1 - Chryse Planitia</vt:lpstr>
      <vt:lpstr>Viking 2 - Utopia Planitia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Ricardo</dc:creator>
  <cp:lastModifiedBy>Daniel Ricardo</cp:lastModifiedBy>
  <dcterms:created xsi:type="dcterms:W3CDTF">2015-06-05T18:17:20Z</dcterms:created>
  <dcterms:modified xsi:type="dcterms:W3CDTF">2020-11-14T02:23:16Z</dcterms:modified>
</cp:coreProperties>
</file>